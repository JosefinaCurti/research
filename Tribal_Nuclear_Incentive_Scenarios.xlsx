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Scenario Model" sheetId="3" state="visible" r:id="rId5"/>
    <sheet name="Methodology Notes"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Source: Examples: A=Westinghouse eVinci (5 MWe), Oklo Aurora (~1.5 MWe). B=NuScale VOYGR (77 MWe/module), GE-Hitachi BWRX-300. C=AP1000-class.
URL: https://arxiv.org/pdf/2504.02599</t>
        </r>
      </text>
    </comment>
    <comment ref="C7" authorId="0">
      <text>
        <r>
          <rPr>
            <sz val="10"/>
            <rFont val="Arial"/>
            <family val="2"/>
          </rPr>
          <t xml:space="preserve">Source: Microreactor: 1–10 MWe range per IAEA. SMR: up to 300 MWe per IAEA. Large: ~1,000 MWe (e.g., AP1000 = 1,117 MWe).
URL: https://arxiv.org/pdf/2504.02599</t>
        </r>
      </text>
    </comment>
    <comment ref="C8" authorId="0">
      <text>
        <r>
          <rPr>
            <sz val="10"/>
            <rFont val="Arial"/>
            <family val="2"/>
          </rPr>
          <t xml:space="preserve">Source: FOAK microreactors estimated $15–25k/kW (Idaho Nat'l Lab studies). SMR FOAK $7–10k/kW (NIA Dec 2023 report). Large FOAK $6–8k/kW (NIA modeling).
URL: https://nuclearinnovationalliance.org/sites/default/files/2023-12/Final%20Report%20V1%20-%20Implications%20of%20Inflation%20Reduction%20Act%20Tax%20Credits%20-%20December%202023.pdf</t>
        </r>
      </text>
    </comment>
    <comment ref="C12" authorId="0">
      <text>
        <r>
          <rPr>
            <sz val="10"/>
            <rFont val="Arial"/>
            <family val="2"/>
          </rPr>
          <t xml:space="preserve">Source: All three scenarios assumed on federally recognized Tribal land per 25 U.S.C. §3501(2).
URL: https://www.energy.gov/sites/default/files/2023-01/2-us-treasury-ie-ira-jan-2023.pdf</t>
        </r>
      </text>
    </comment>
    <comment ref="C13" authorId="0">
      <text>
        <r>
          <rPr>
            <sz val="10"/>
            <rFont val="Arial"/>
            <family val="2"/>
          </rPr>
          <t xml:space="preserve">Source: §48E(h) Indian Land bonus is statutorily limited to facilities &lt;5 MW net output. SMRs (300 MW) and large reactors do not qualify.
URL: https://www.irs.gov/credits-deductions/clean-electricity-low-income-communities-bonus-credit-amount-program</t>
        </r>
      </text>
    </comment>
    <comment ref="C14" authorId="0">
      <text>
        <r>
          <rPr>
            <sz val="10"/>
            <rFont val="Arial"/>
            <family val="2"/>
          </rPr>
          <t xml:space="preserve">Source: Scenario B sited in former coal-fired plant census tract; Scenario C on a brownfield within a coal MSA. Scenario A on greenfield Tribal land.
URL: https://www.irs.gov/credits-deductions/frequently-asked-questions-for-energy-communities</t>
        </r>
      </text>
    </comment>
    <comment ref="C15" authorId="0">
      <text>
        <r>
          <rPr>
            <sz val="10"/>
            <rFont val="Arial"/>
            <family val="2"/>
          </rPr>
          <t xml:space="preserve">Source: Assumed: 100% US steel/iron + ≥40% (rising to 55%) US-manufactured product cost share, per CRS R48358.
URL: https://www.congress.gov/crs-product/R48358</t>
        </r>
      </text>
    </comment>
    <comment ref="C16" authorId="0">
      <text>
        <r>
          <rPr>
            <sz val="10"/>
            <rFont val="Arial"/>
            <family val="2"/>
          </rPr>
          <t xml:space="preserve">Source: Required to access 30% base ITC vs. 6% un-bonused. All major nuclear projects assumed to comply.
URL: https://www.morganlewis.com/pubs/2025/07/the-impact-of-the-one-big-beautiful-bill-act-on-nuclear-tax-incentives</t>
        </r>
      </text>
    </comment>
    <comment ref="C17" authorId="0">
      <text>
        <r>
          <rPr>
            <sz val="10"/>
            <rFont val="Arial"/>
            <family val="2"/>
          </rPr>
          <t xml:space="preserve">Source: Tribal governments are tax-exempt and elect to receive credits as cash refund from IRS. Pre-registration via IRS Energy Credits Online required.
URL: https://home.treasury.gov/news/press-releases/jy1830</t>
        </r>
      </text>
    </comment>
    <comment ref="C18" authorId="0">
      <text>
        <r>
          <rPr>
            <sz val="10"/>
            <rFont val="Arial"/>
            <family val="2"/>
          </rPr>
          <t xml:space="preserve">Source: All assumed pre-2034, so full 100% credit value applies (no OBBBA phasedown haircut).
URL: https://www.sidley.com/en/insights/newsupdates/2025/07/the-one-big-beautiful-bill-act-navigating-the-new-energy-landscape</t>
        </r>
      </text>
    </comment>
    <comment ref="C21" authorId="0">
      <text>
        <r>
          <rPr>
            <sz val="10"/>
            <rFont val="Arial"/>
            <family val="2"/>
          </rPr>
          <t xml:space="preserve">Source: 30% with PWA met. Without PWA, the rate would be 6%. This is the technology-neutral Clean Electricity ITC.
URL: https://www.irs.gov/credits-and-deductions-under-the-inflation-reduction-act-of-2022</t>
        </r>
      </text>
    </comment>
    <comment ref="C22" authorId="0">
      <text>
        <r>
          <rPr>
            <sz val="10"/>
            <rFont val="Arial"/>
            <family val="2"/>
          </rPr>
          <t xml:space="preserve">Source: +10 percentage points if 100% US steel/iron and qualifying % of US-manufactured products. Applies to nuclear of any size.
URL: https://www.congress.gov/crs-product/R48358</t>
        </r>
      </text>
    </comment>
    <comment ref="C23" authorId="0">
      <text>
        <r>
          <rPr>
            <sz val="10"/>
            <rFont val="Arial"/>
            <family val="2"/>
          </rPr>
          <t xml:space="preserve">Source: +10 pp if site is brownfield, coal closure tract, or fossil-fuel statistical area. Scenario A is greenfield, so no adder.
URL: https://www.irs.gov/credits-deductions/frequently-asked-questions-for-energy-communities</t>
        </r>
      </text>
    </comment>
    <comment ref="C24" authorId="0">
      <text>
        <r>
          <rPr>
            <sz val="10"/>
            <rFont val="Arial"/>
            <family val="2"/>
          </rPr>
          <t xml:space="preserve">Source: +10 pp under §48E(h) Cat. 2 (Indian Land). Limited to facilities &lt;5 MW. Requires DOE/IRS allocation in 2026 program window.
URL: https://www.irs.gov/credits-deductions/clean-electricity-low-income-communities-bonus-credit-amount-program</t>
        </r>
      </text>
    </comment>
    <comment ref="C25" authorId="0">
      <text>
        <r>
          <rPr>
            <sz val="10"/>
            <rFont val="Arial"/>
            <family val="2"/>
          </rPr>
          <t xml:space="preserve">Source: +20 pp if ≥50% of electricity benefits flow to low-income households. Not assumed here, but available to microreactors with such commitments.
URL: https://www.irs.gov/credits-deductions/clean-electricity-low-income-communities-bonus-credit-amount-program</t>
        </r>
      </text>
    </comment>
    <comment ref="C29" authorId="0">
      <text>
        <r>
          <rPr>
            <sz val="10"/>
            <rFont val="Arial"/>
            <family val="2"/>
          </rPr>
          <t xml:space="preserve">Source: TEFP under Title XXVI EPAct 1992 (as amended). Up to $20B in loan guarantee authority. STATUTORY CEILING: TEFP can support up to 80% of eligible project costs per DOE FAQ. Scenario A modeled at 50% (smaller, simpler microreactor); Scenarios B and C at the 80% cap.
URL: https://www.energy.gov/edf/tribal-energy-financing-program-frequently-asked-questions</t>
        </r>
      </text>
    </comment>
    <comment ref="C30" authorId="0">
      <text>
        <r>
          <rPr>
            <sz val="10"/>
            <rFont val="Arial"/>
            <family val="2"/>
          </rPr>
          <t xml:space="preserve">Source: TEFP loan guarantees lower the cost of debt by an estimated 100–300 bps vs. commercial debt (industry estimate). Mid-range 200 bps used here.
URL: https://nuclearinnovationalliance.org/sites/default/files/2025-03/Importance%20of%20Tax%20Credits%20-%20Final.pdf</t>
        </r>
      </text>
    </comment>
    <comment ref="C31" authorId="0">
      <text>
        <r>
          <rPr>
            <sz val="10"/>
            <rFont val="Arial"/>
            <family val="2"/>
          </rPr>
          <t xml:space="preserve">Source: Updated to current $50M NOFO 'Unleashing Tribal Energy Development' (DE-FOA-0003548, deadline July 24, 2026). TA1 (community construction, up to $7.5M, 10% cost share); TA2 (community pre-development, up to $1.5M); TA3 (large-scale planning/feasibility, up to $2.5M). Scenarios B and C use TA3 cap; Scenario A uses TA2 cap (community-scale microreactor).
URL: https://www.energy.gov/articles/energy-department-announces-50-million-investment-advance-affordable-reliable-and-secure</t>
        </r>
      </text>
    </comment>
    <comment ref="D6" authorId="0">
      <text>
        <r>
          <rPr>
            <sz val="10"/>
            <rFont val="Arial"/>
            <family val="2"/>
          </rPr>
          <t xml:space="preserve">Source: Examples: A=Westinghouse eVinci (5 MWe), Oklo Aurora (~1.5 MWe). B=NuScale VOYGR (77 MWe/module), GE-Hitachi BWRX-300. C=AP1000-class.
URL: https://arxiv.org/pdf/2504.02599</t>
        </r>
      </text>
    </comment>
    <comment ref="D7" authorId="0">
      <text>
        <r>
          <rPr>
            <sz val="10"/>
            <rFont val="Arial"/>
            <family val="2"/>
          </rPr>
          <t xml:space="preserve">Source: Microreactor: 1–10 MWe range per IAEA. SMR: up to 300 MWe per IAEA. Large: ~1,000 MWe (e.g., AP1000 = 1,117 MWe).
URL: https://arxiv.org/pdf/2504.02599</t>
        </r>
      </text>
    </comment>
    <comment ref="D8" authorId="0">
      <text>
        <r>
          <rPr>
            <sz val="10"/>
            <rFont val="Arial"/>
            <family val="2"/>
          </rPr>
          <t xml:space="preserve">Source: FOAK microreactors estimated $15–25k/kW (Idaho Nat'l Lab studies). SMR FOAK $7–10k/kW (NIA Dec 2023 report). Large FOAK $6–8k/kW (NIA modeling).
URL: https://nuclearinnovationalliance.org/sites/default/files/2023-12/Final%20Report%20V1%20-%20Implications%20of%20Inflation%20Reduction%20Act%20Tax%20Credits%20-%20December%202023.pdf</t>
        </r>
      </text>
    </comment>
    <comment ref="D12" authorId="0">
      <text>
        <r>
          <rPr>
            <sz val="10"/>
            <rFont val="Arial"/>
            <family val="2"/>
          </rPr>
          <t xml:space="preserve">Source: All three scenarios assumed on federally recognized Tribal land per 25 U.S.C. §3501(2).
URL: https://www.energy.gov/sites/default/files/2023-01/2-us-treasury-ie-ira-jan-2023.pdf</t>
        </r>
      </text>
    </comment>
    <comment ref="D13" authorId="0">
      <text>
        <r>
          <rPr>
            <sz val="10"/>
            <rFont val="Arial"/>
            <family val="2"/>
          </rPr>
          <t xml:space="preserve">Source: §48E(h) Indian Land bonus is statutorily limited to facilities &lt;5 MW net output. SMRs (300 MW) and large reactors do not qualify.
URL: https://www.irs.gov/credits-deductions/clean-electricity-low-income-communities-bonus-credit-amount-program</t>
        </r>
      </text>
    </comment>
    <comment ref="D14" authorId="0">
      <text>
        <r>
          <rPr>
            <sz val="10"/>
            <rFont val="Arial"/>
            <family val="2"/>
          </rPr>
          <t xml:space="preserve">Source: Scenario B sited in former coal-fired plant census tract; Scenario C on a brownfield within a coal MSA. Scenario A on greenfield Tribal land.
URL: https://www.irs.gov/credits-deductions/frequently-asked-questions-for-energy-communities</t>
        </r>
      </text>
    </comment>
    <comment ref="D15" authorId="0">
      <text>
        <r>
          <rPr>
            <sz val="10"/>
            <rFont val="Arial"/>
            <family val="2"/>
          </rPr>
          <t xml:space="preserve">Source: Assumed: 100% US steel/iron + ≥40% (rising to 55%) US-manufactured product cost share, per CRS R48358.
URL: https://www.congress.gov/crs-product/R48358</t>
        </r>
      </text>
    </comment>
    <comment ref="D16" authorId="0">
      <text>
        <r>
          <rPr>
            <sz val="10"/>
            <rFont val="Arial"/>
            <family val="2"/>
          </rPr>
          <t xml:space="preserve">Source: Required to access 30% base ITC vs. 6% un-bonused. All major nuclear projects assumed to comply.
URL: https://www.morganlewis.com/pubs/2025/07/the-impact-of-the-one-big-beautiful-bill-act-on-nuclear-tax-incentives</t>
        </r>
      </text>
    </comment>
    <comment ref="D17" authorId="0">
      <text>
        <r>
          <rPr>
            <sz val="10"/>
            <rFont val="Arial"/>
            <family val="2"/>
          </rPr>
          <t xml:space="preserve">Source: Tribal governments are tax-exempt and elect to receive credits as cash refund from IRS. Pre-registration via IRS Energy Credits Online required.
URL: https://home.treasury.gov/news/press-releases/jy1830</t>
        </r>
      </text>
    </comment>
    <comment ref="D18" authorId="0">
      <text>
        <r>
          <rPr>
            <sz val="10"/>
            <rFont val="Arial"/>
            <family val="2"/>
          </rPr>
          <t xml:space="preserve">Source: All assumed pre-2034, so full 100% credit value applies (no OBBBA phasedown haircut).
URL: https://www.sidley.com/en/insights/newsupdates/2025/07/the-one-big-beautiful-bill-act-navigating-the-new-energy-landscape</t>
        </r>
      </text>
    </comment>
    <comment ref="D21" authorId="0">
      <text>
        <r>
          <rPr>
            <sz val="10"/>
            <rFont val="Arial"/>
            <family val="2"/>
          </rPr>
          <t xml:space="preserve">Source: 30% with PWA met. Without PWA, the rate would be 6%. This is the technology-neutral Clean Electricity ITC.
URL: https://www.irs.gov/credits-and-deductions-under-the-inflation-reduction-act-of-2022</t>
        </r>
      </text>
    </comment>
    <comment ref="D22" authorId="0">
      <text>
        <r>
          <rPr>
            <sz val="10"/>
            <rFont val="Arial"/>
            <family val="2"/>
          </rPr>
          <t xml:space="preserve">Source: +10 percentage points if 100% US steel/iron and qualifying % of US-manufactured products. Applies to nuclear of any size.
URL: https://www.congress.gov/crs-product/R48358</t>
        </r>
      </text>
    </comment>
    <comment ref="D23" authorId="0">
      <text>
        <r>
          <rPr>
            <sz val="10"/>
            <rFont val="Arial"/>
            <family val="2"/>
          </rPr>
          <t xml:space="preserve">Source: +10 pp if site is brownfield, coal closure tract, or fossil-fuel statistical area. Scenario A is greenfield, so no adder.
URL: https://www.irs.gov/credits-deductions/frequently-asked-questions-for-energy-communities</t>
        </r>
      </text>
    </comment>
    <comment ref="D24" authorId="0">
      <text>
        <r>
          <rPr>
            <sz val="10"/>
            <rFont val="Arial"/>
            <family val="2"/>
          </rPr>
          <t xml:space="preserve">Source: +10 pp under §48E(h) Cat. 2 (Indian Land). Limited to facilities &lt;5 MW. Requires DOE/IRS allocation in 2026 program window.
URL: https://www.irs.gov/credits-deductions/clean-electricity-low-income-communities-bonus-credit-amount-program</t>
        </r>
      </text>
    </comment>
    <comment ref="D25" authorId="0">
      <text>
        <r>
          <rPr>
            <sz val="10"/>
            <rFont val="Arial"/>
            <family val="2"/>
          </rPr>
          <t xml:space="preserve">Source: +20 pp if ≥50% of electricity benefits flow to low-income households. Not assumed here, but available to microreactors with such commitments.
URL: https://www.irs.gov/credits-deductions/clean-electricity-low-income-communities-bonus-credit-amount-program</t>
        </r>
      </text>
    </comment>
    <comment ref="D29" authorId="0">
      <text>
        <r>
          <rPr>
            <sz val="10"/>
            <rFont val="Arial"/>
            <family val="2"/>
          </rPr>
          <t xml:space="preserve">Source: TEFP under Title XXVI EPAct 1992 (as amended). Up to $20B in loan guarantee authority. STATUTORY CEILING: TEFP can support up to 80% of eligible project costs per DOE FAQ. Scenario A modeled at 50% (smaller, simpler microreactor); Scenarios B and C at the 80% cap.
URL: https://www.energy.gov/edf/tribal-energy-financing-program-frequently-asked-questions</t>
        </r>
      </text>
    </comment>
    <comment ref="D30" authorId="0">
      <text>
        <r>
          <rPr>
            <sz val="10"/>
            <rFont val="Arial"/>
            <family val="2"/>
          </rPr>
          <t xml:space="preserve">Source: TEFP loan guarantees lower the cost of debt by an estimated 100–300 bps vs. commercial debt (industry estimate). Mid-range 200 bps used here.
URL: https://nuclearinnovationalliance.org/sites/default/files/2025-03/Importance%20of%20Tax%20Credits%20-%20Final.pdf</t>
        </r>
      </text>
    </comment>
    <comment ref="D31" authorId="0">
      <text>
        <r>
          <rPr>
            <sz val="10"/>
            <rFont val="Arial"/>
            <family val="2"/>
          </rPr>
          <t xml:space="preserve">Source: Updated to current $50M NOFO 'Unleashing Tribal Energy Development' (DE-FOA-0003548, deadline July 24, 2026). TA1 (community construction, up to $7.5M, 10% cost share); TA2 (community pre-development, up to $1.5M); TA3 (large-scale planning/feasibility, up to $2.5M). Scenarios B and C use TA3 cap; Scenario A uses TA2 cap (community-scale microreactor).
URL: https://www.energy.gov/articles/energy-department-announces-50-million-investment-advance-affordable-reliable-and-secure</t>
        </r>
      </text>
    </comment>
    <comment ref="E6" authorId="0">
      <text>
        <r>
          <rPr>
            <sz val="10"/>
            <rFont val="Arial"/>
            <family val="2"/>
          </rPr>
          <t xml:space="preserve">Source: Examples: A=Westinghouse eVinci (5 MWe), Oklo Aurora (~1.5 MWe). B=NuScale VOYGR (77 MWe/module), GE-Hitachi BWRX-300. C=AP1000-class.
URL: https://arxiv.org/pdf/2504.02599</t>
        </r>
      </text>
    </comment>
    <comment ref="E7" authorId="0">
      <text>
        <r>
          <rPr>
            <sz val="10"/>
            <rFont val="Arial"/>
            <family val="2"/>
          </rPr>
          <t xml:space="preserve">Source: Microreactor: 1–10 MWe range per IAEA. SMR: up to 300 MWe per IAEA. Large: ~1,000 MWe (e.g., AP1000 = 1,117 MWe).
URL: https://arxiv.org/pdf/2504.02599</t>
        </r>
      </text>
    </comment>
    <comment ref="E8" authorId="0">
      <text>
        <r>
          <rPr>
            <sz val="10"/>
            <rFont val="Arial"/>
            <family val="2"/>
          </rPr>
          <t xml:space="preserve">Source: FOAK microreactors estimated $15–25k/kW (Idaho Nat'l Lab studies). SMR FOAK $7–10k/kW (NIA Dec 2023 report). Large FOAK $6–8k/kW (NIA modeling).
URL: https://nuclearinnovationalliance.org/sites/default/files/2023-12/Final%20Report%20V1%20-%20Implications%20of%20Inflation%20Reduction%20Act%20Tax%20Credits%20-%20December%202023.pdf</t>
        </r>
      </text>
    </comment>
    <comment ref="E12" authorId="0">
      <text>
        <r>
          <rPr>
            <sz val="10"/>
            <rFont val="Arial"/>
            <family val="2"/>
          </rPr>
          <t xml:space="preserve">Source: All three scenarios assumed on federally recognized Tribal land per 25 U.S.C. §3501(2).
URL: https://www.energy.gov/sites/default/files/2023-01/2-us-treasury-ie-ira-jan-2023.pdf</t>
        </r>
      </text>
    </comment>
    <comment ref="E13" authorId="0">
      <text>
        <r>
          <rPr>
            <sz val="10"/>
            <rFont val="Arial"/>
            <family val="2"/>
          </rPr>
          <t xml:space="preserve">Source: §48E(h) Indian Land bonus is statutorily limited to facilities &lt;5 MW net output. SMRs (300 MW) and large reactors do not qualify.
URL: https://www.irs.gov/credits-deductions/clean-electricity-low-income-communities-bonus-credit-amount-program</t>
        </r>
      </text>
    </comment>
    <comment ref="E14" authorId="0">
      <text>
        <r>
          <rPr>
            <sz val="10"/>
            <rFont val="Arial"/>
            <family val="2"/>
          </rPr>
          <t xml:space="preserve">Source: Scenario B sited in former coal-fired plant census tract; Scenario C on a brownfield within a coal MSA. Scenario A on greenfield Tribal land.
URL: https://www.irs.gov/credits-deductions/frequently-asked-questions-for-energy-communities</t>
        </r>
      </text>
    </comment>
    <comment ref="E15" authorId="0">
      <text>
        <r>
          <rPr>
            <sz val="10"/>
            <rFont val="Arial"/>
            <family val="2"/>
          </rPr>
          <t xml:space="preserve">Source: Assumed: 100% US steel/iron + ≥40% (rising to 55%) US-manufactured product cost share, per CRS R48358.
URL: https://www.congress.gov/crs-product/R48358</t>
        </r>
      </text>
    </comment>
    <comment ref="E16" authorId="0">
      <text>
        <r>
          <rPr>
            <sz val="10"/>
            <rFont val="Arial"/>
            <family val="2"/>
          </rPr>
          <t xml:space="preserve">Source: Required to access 30% base ITC vs. 6% un-bonused. All major nuclear projects assumed to comply.
URL: https://www.morganlewis.com/pubs/2025/07/the-impact-of-the-one-big-beautiful-bill-act-on-nuclear-tax-incentives</t>
        </r>
      </text>
    </comment>
    <comment ref="E17" authorId="0">
      <text>
        <r>
          <rPr>
            <sz val="10"/>
            <rFont val="Arial"/>
            <family val="2"/>
          </rPr>
          <t xml:space="preserve">Source: Tribal governments are tax-exempt and elect to receive credits as cash refund from IRS. Pre-registration via IRS Energy Credits Online required.
URL: https://home.treasury.gov/news/press-releases/jy1830</t>
        </r>
      </text>
    </comment>
    <comment ref="E18" authorId="0">
      <text>
        <r>
          <rPr>
            <sz val="10"/>
            <rFont val="Arial"/>
            <family val="2"/>
          </rPr>
          <t xml:space="preserve">Source: All assumed pre-2034, so full 100% credit value applies (no OBBBA phasedown haircut).
URL: https://www.sidley.com/en/insights/newsupdates/2025/07/the-one-big-beautiful-bill-act-navigating-the-new-energy-landscape</t>
        </r>
      </text>
    </comment>
    <comment ref="E21" authorId="0">
      <text>
        <r>
          <rPr>
            <sz val="10"/>
            <rFont val="Arial"/>
            <family val="2"/>
          </rPr>
          <t xml:space="preserve">Source: 30% with PWA met. Without PWA, the rate would be 6%. This is the technology-neutral Clean Electricity ITC.
URL: https://www.irs.gov/credits-and-deductions-under-the-inflation-reduction-act-of-2022</t>
        </r>
      </text>
    </comment>
    <comment ref="E22" authorId="0">
      <text>
        <r>
          <rPr>
            <sz val="10"/>
            <rFont val="Arial"/>
            <family val="2"/>
          </rPr>
          <t xml:space="preserve">Source: +10 percentage points if 100% US steel/iron and qualifying % of US-manufactured products. Applies to nuclear of any size.
URL: https://www.congress.gov/crs-product/R48358</t>
        </r>
      </text>
    </comment>
    <comment ref="E23" authorId="0">
      <text>
        <r>
          <rPr>
            <sz val="10"/>
            <rFont val="Arial"/>
            <family val="2"/>
          </rPr>
          <t xml:space="preserve">Source: +10 pp if site is brownfield, coal closure tract, or fossil-fuel statistical area. Scenario A is greenfield, so no adder.
URL: https://www.irs.gov/credits-deductions/frequently-asked-questions-for-energy-communities</t>
        </r>
      </text>
    </comment>
    <comment ref="E24" authorId="0">
      <text>
        <r>
          <rPr>
            <sz val="10"/>
            <rFont val="Arial"/>
            <family val="2"/>
          </rPr>
          <t xml:space="preserve">Source: +10 pp under §48E(h) Cat. 2 (Indian Land). Limited to facilities &lt;5 MW. Requires DOE/IRS allocation in 2026 program window.
URL: https://www.irs.gov/credits-deductions/clean-electricity-low-income-communities-bonus-credit-amount-program</t>
        </r>
      </text>
    </comment>
    <comment ref="E25" authorId="0">
      <text>
        <r>
          <rPr>
            <sz val="10"/>
            <rFont val="Arial"/>
            <family val="2"/>
          </rPr>
          <t xml:space="preserve">Source: +20 pp if ≥50% of electricity benefits flow to low-income households. Not assumed here, but available to microreactors with such commitments.
URL: https://www.irs.gov/credits-deductions/clean-electricity-low-income-communities-bonus-credit-amount-program</t>
        </r>
      </text>
    </comment>
    <comment ref="E29" authorId="0">
      <text>
        <r>
          <rPr>
            <sz val="10"/>
            <rFont val="Arial"/>
            <family val="2"/>
          </rPr>
          <t xml:space="preserve">Source: TEFP under Title XXVI EPAct 1992 (as amended). Up to $20B in loan guarantee authority. STATUTORY CEILING: TEFP can support up to 80% of eligible project costs per DOE FAQ. Scenario A modeled at 50% (smaller, simpler microreactor); Scenarios B and C at the 80% cap.
URL: https://www.energy.gov/edf/tribal-energy-financing-program-frequently-asked-questions</t>
        </r>
      </text>
    </comment>
    <comment ref="E30" authorId="0">
      <text>
        <r>
          <rPr>
            <sz val="10"/>
            <rFont val="Arial"/>
            <family val="2"/>
          </rPr>
          <t xml:space="preserve">Source: TEFP loan guarantees lower the cost of debt by an estimated 100–300 bps vs. commercial debt (industry estimate). Mid-range 200 bps used here.
URL: https://nuclearinnovationalliance.org/sites/default/files/2025-03/Importance%20of%20Tax%20Credits%20-%20Final.pdf</t>
        </r>
      </text>
    </comment>
    <comment ref="E31" authorId="0">
      <text>
        <r>
          <rPr>
            <sz val="10"/>
            <rFont val="Arial"/>
            <family val="2"/>
          </rPr>
          <t xml:space="preserve">Source: Updated to current $50M NOFO 'Unleashing Tribal Energy Development' (DE-FOA-0003548, deadline July 24, 2026). TA1 (community construction, up to $7.5M, 10% cost share); TA2 (community pre-development, up to $1.5M); TA3 (large-scale planning/feasibility, up to $2.5M). Scenarios B and C use TA3 cap; Scenario A uses TA2 cap (community-scale microreactor).
URL: https://www.energy.gov/articles/energy-department-announces-50-million-investment-advance-affordable-reliable-and-secure</t>
        </r>
      </text>
    </comment>
  </commentList>
</comments>
</file>

<file path=xl/sharedStrings.xml><?xml version="1.0" encoding="utf-8"?>
<sst xmlns="http://schemas.openxmlformats.org/spreadsheetml/2006/main" count="329" uniqueCount="293">
  <si>
    <t xml:space="preserve">Nuclear Project Deployment Incentives on Tribal Lands — Scenario Analysis</t>
  </si>
  <si>
    <t xml:space="preserve">VERSION: v2 (May 2026) — incorporates updates from sanity-check comparison report.</t>
  </si>
  <si>
    <t xml:space="preserve">Purpose:</t>
  </si>
  <si>
    <t xml:space="preserve">This workbook models three illustrative nuclear project scenarios on Tribal lands and shows the financial impact</t>
  </si>
  <si>
    <t xml:space="preserve">of stacking the available federal incentives (Section 48E ITC, bonus adders, Direct Pay, and DOE loan support).</t>
  </si>
  <si>
    <t xml:space="preserve">Scenarios included:</t>
  </si>
  <si>
    <t xml:space="preserve">  • Scenario A — Microreactor (3 MW) on Tribal land — qualifies for the §48E(h) Indian Land bonus + LIC stack.</t>
  </si>
  <si>
    <t xml:space="preserve">  • Scenario B — Small Modular Reactor (300 MW) on Tribal land — base ITC + domestic content + energy community.</t>
  </si>
  <si>
    <t xml:space="preserve">  • Scenario C — Advanced Reactor (1,000 MW / large) on Tribal land near a former coal site — full energy community stack.</t>
  </si>
  <si>
    <t xml:space="preserve">Sheets:</t>
  </si>
  <si>
    <t xml:space="preserve">  • README — this overview.</t>
  </si>
  <si>
    <t xml:space="preserve">  • Assumptions — every input cell has a comment with the source URL.</t>
  </si>
  <si>
    <t xml:space="preserve">  • Scenario Model — formulas linked back to assumptions; outputs ITC value, DOE financing, net cost.</t>
  </si>
  <si>
    <t xml:space="preserve">  • Methodology Notes — important caveats: ITC vs PTC adder math, energy community pre-qualification, OBBBA, FEOC.</t>
  </si>
  <si>
    <t xml:space="preserve">  • Sources — full hyperlinked source list.</t>
  </si>
  <si>
    <t xml:space="preserve">Color conventions (industry standard):</t>
  </si>
  <si>
    <t xml:space="preserve">  • BLUE text = hardcoded input/assumption (change for sensitivity)</t>
  </si>
  <si>
    <t xml:space="preserve">  • BLACK text = formula / calculated</t>
  </si>
  <si>
    <t xml:space="preserve">  • GREEN text = cross-sheet link</t>
  </si>
  <si>
    <t xml:space="preserve">  • YELLOW fill = key assumption needing review</t>
  </si>
  <si>
    <t xml:space="preserve">  • GREEN fill = scenario result</t>
  </si>
  <si>
    <t xml:space="preserve">Source citations:</t>
  </si>
  <si>
    <t xml:space="preserve">Every input cell has a comment indicating the source. Hyperlinks to primary sources are on the 'Sources' tab.</t>
  </si>
  <si>
    <t xml:space="preserve">All numbers are illustrative — actual project economics will differ based on specific site, financing structure, and</t>
  </si>
  <si>
    <t xml:space="preserve">vendor pricing. This workbook is intended to show the relative magnitude of the incentive stack, not to predict any</t>
  </si>
  <si>
    <t xml:space="preserve">specific project's economics.</t>
  </si>
  <si>
    <t xml:space="preserve">Key caveat from research:</t>
  </si>
  <si>
    <t xml:space="preserve">The §48E(h) Indian Land +10% bonus only applies to facilities under 5 MW net output. SMRs (~50–300 MW) and</t>
  </si>
  <si>
    <t xml:space="preserve">large reactors do NOT qualify for that adder, but DO qualify for the base 30% ITC, +10% domestic content, and</t>
  </si>
  <si>
    <t xml:space="preserve">+10% energy community adders, plus Direct Pay for Tribes.</t>
  </si>
  <si>
    <t xml:space="preserve">v2 changes from v1:</t>
  </si>
  <si>
    <t xml:space="preserve">  • Added Methodology Notes sheet covering ITC vs PTC adder math (multiplicative vs additive),</t>
  </si>
  <si>
    <t xml:space="preserve">    Energy Community pre-qualification on uranium-legacy Tribal lands, PWA &lt;1MW exemption, Direct Pay vs</t>
  </si>
  <si>
    <t xml:space="preserve">    Transferability monetization spread, OBBBA phasedown for nuclear, FEOC restrictions, and non-electric end uses.</t>
  </si>
  <si>
    <t xml:space="preserve">  • Updated TEFP loan coverage to reflect 80% statutory ceiling (from 70% illustrative).</t>
  </si>
  <si>
    <t xml:space="preserve">  • Updated DOE-IE grant assumption to current $50M 'Unleashing Tribal Energy Development' NOFO (DE-FOA-0003548)</t>
  </si>
  <si>
    <t xml:space="preserve">    with TA1/TA2/TA3 Topic Area caps. Deadline July 24, 2026.</t>
  </si>
  <si>
    <t xml:space="preserve">  • Updated TEFP nomenclature (formerly TELGP) and reflects move from LPO to new Office of Energy Dominance Financing (EDF).</t>
  </si>
  <si>
    <t xml:space="preserve">  • Added Wilson Center, Crux Climate, Morgan Lewis, Plante Moran, and DOE/NETL mapping tool sources.</t>
  </si>
  <si>
    <t xml:space="preserve">Date prepared: May 2026 — reflects post-OBBBA (One Big Beautiful Bill Act, signed July 4, 2025) law.</t>
  </si>
  <si>
    <t xml:space="preserve">Project Assumptions — Three Scenarios</t>
  </si>
  <si>
    <t xml:space="preserve">Parameter</t>
  </si>
  <si>
    <t xml:space="preserve">Scenario A: Microreactor</t>
  </si>
  <si>
    <t xml:space="preserve">Scenario B: SMR</t>
  </si>
  <si>
    <t xml:space="preserve">Scenario C: Large Reactor</t>
  </si>
  <si>
    <t xml:space="preserve">Source / Notes</t>
  </si>
  <si>
    <t xml:space="preserve">PROJECT BASICS</t>
  </si>
  <si>
    <t xml:space="preserve">Reactor type</t>
  </si>
  <si>
    <t xml:space="preserve">Microreactor</t>
  </si>
  <si>
    <t xml:space="preserve">Small Modular Reactor (SMR)</t>
  </si>
  <si>
    <t xml:space="preserve">Large advanced reactor</t>
  </si>
  <si>
    <t xml:space="preserve">Examples: A=Westinghouse eVinci (5 MWe), Oklo Aurora (~1.5 MWe). B=NuScale VOYGR (77 MWe/module), GE-Hitachi BWRX-300. C=AP1000-class.</t>
  </si>
  <si>
    <t xml:space="preserve">Net electrical output (MWe)</t>
  </si>
  <si>
    <t xml:space="preserve">Microreactor: 1–10 MWe range per IAEA. SMR: up to 300 MWe per IAEA. Large: ~1,000 MWe (e.g., AP1000 = 1,117 MWe).</t>
  </si>
  <si>
    <t xml:space="preserve">Overnight capital cost ($/kW)</t>
  </si>
  <si>
    <t xml:space="preserve">FOAK microreactors estimated $15–25k/kW (Idaho Nat'l Lab studies). SMR FOAK $7–10k/kW (NIA Dec 2023 report). Large FOAK $6–8k/kW (NIA modeling).</t>
  </si>
  <si>
    <t xml:space="preserve">Total project cost ($)</t>
  </si>
  <si>
    <t xml:space="preserve">Calculated: MWe × $/kW × 1,000. Represents qualified investment cost basis for §48E ITC purposes.</t>
  </si>
  <si>
    <t xml:space="preserve">ELIGIBILITY &amp; SITE CHARACTERISTICS</t>
  </si>
  <si>
    <t xml:space="preserve">Located on Tribal land?</t>
  </si>
  <si>
    <t xml:space="preserve">Yes</t>
  </si>
  <si>
    <t xml:space="preserve">All three scenarios assumed on federally recognized Tribal land per 25 U.S.C. §3501(2).</t>
  </si>
  <si>
    <t xml:space="preserve">Net output &lt;5 MW (qualifies §48E(h))?</t>
  </si>
  <si>
    <t xml:space="preserve">No</t>
  </si>
  <si>
    <t xml:space="preserve">§48E(h) Indian Land bonus is statutorily limited to facilities &lt;5 MW net output. SMRs (300 MW) and large reactors do not qualify.</t>
  </si>
  <si>
    <t xml:space="preserve">In Energy Community (brownfield/coal/fossil)?</t>
  </si>
  <si>
    <t xml:space="preserve">Yes (former coal area)</t>
  </si>
  <si>
    <t xml:space="preserve">Yes (brownfield + coal MSA)</t>
  </si>
  <si>
    <t xml:space="preserve">Scenario B sited in former coal-fired plant census tract; Scenario C on a brownfield within a coal MSA. Scenario A on greenfield Tribal land.</t>
  </si>
  <si>
    <t xml:space="preserve">Domestic content compliant?</t>
  </si>
  <si>
    <t xml:space="preserve">Assumed: 100% US steel/iron + ≥40% (rising to 55%) US-manufactured product cost share, per CRS R48358.</t>
  </si>
  <si>
    <t xml:space="preserve">PWA (prevailing wage &amp; apprenticeship) met?</t>
  </si>
  <si>
    <t xml:space="preserve">Required to access 30% base ITC vs. 6% un-bonused. All major nuclear projects assumed to comply.</t>
  </si>
  <si>
    <t xml:space="preserve">Tribe takes Direct Pay (§6417)?</t>
  </si>
  <si>
    <t xml:space="preserve">Tribal governments are tax-exempt and elect to receive credits as cash refund from IRS. Pre-registration via IRS Energy Credits Online required.</t>
  </si>
  <si>
    <t xml:space="preserve">Begin construction year</t>
  </si>
  <si>
    <t xml:space="preserve">All assumed pre-2034, so full 100% credit value applies (no OBBBA phasedown haircut).</t>
  </si>
  <si>
    <t xml:space="preserve">APPLICABLE CREDIT RATES</t>
  </si>
  <si>
    <t xml:space="preserve">§48E base ITC rate (with PWA)</t>
  </si>
  <si>
    <t xml:space="preserve">30% with PWA met. Without PWA, the rate would be 6%. This is the technology-neutral Clean Electricity ITC.</t>
  </si>
  <si>
    <t xml:space="preserve">Domestic content adder</t>
  </si>
  <si>
    <t xml:space="preserve">+10 percentage points if 100% US steel/iron and qualifying % of US-manufactured products. Applies to nuclear of any size.</t>
  </si>
  <si>
    <t xml:space="preserve">Energy community adder</t>
  </si>
  <si>
    <t xml:space="preserve">+10 pp if site is brownfield, coal closure tract, or fossil-fuel statistical area. Scenario A is greenfield, so no adder.</t>
  </si>
  <si>
    <t xml:space="preserve">§48E(h) Indian Land adder (microreactor only)</t>
  </si>
  <si>
    <t xml:space="preserve">+10 pp under §48E(h) Cat. 2 (Indian Land). Limited to facilities &lt;5 MW. Requires DOE/IRS allocation in 2026 program window.</t>
  </si>
  <si>
    <t xml:space="preserve">§48E(h) Low-Income Economic Benefit adder (Cat. 4)</t>
  </si>
  <si>
    <t xml:space="preserve">+20 pp if ≥50% of electricity benefits flow to low-income households. Not assumed here, but available to microreactors with such commitments.</t>
  </si>
  <si>
    <t xml:space="preserve">Total ITC % (capped at 70%)</t>
  </si>
  <si>
    <t xml:space="preserve">Sum of base + adders, with 70% statutory ceiling on §48(e)/§48E(h) stack.</t>
  </si>
  <si>
    <t xml:space="preserve">DOE FINANCING (illustrative)</t>
  </si>
  <si>
    <t xml:space="preserve">DOE TEFP loan guarantee % of project cost</t>
  </si>
  <si>
    <t xml:space="preserve">TEFP under Title XXVI EPAct 1992 (as amended). Up to $20B in loan guarantee authority. STATUTORY CEILING: TEFP can support up to 80% of eligible project costs per DOE FAQ. Scenario A modeled at 50% (smaller, simpler microreactor); Scenarios B and C at the 80% cap.</t>
  </si>
  <si>
    <t xml:space="preserve">Cost of debt savings vs. commercial (bps)</t>
  </si>
  <si>
    <t xml:space="preserve">TEFP loan guarantees lower the cost of debt by an estimated 100–300 bps vs. commercial debt (industry estimate). Mid-range 200 bps used here.</t>
  </si>
  <si>
    <t xml:space="preserve">DOE Office of Indian Energy grant ($)</t>
  </si>
  <si>
    <t xml:space="preserve">Updated to current $50M NOFO 'Unleashing Tribal Energy Development' (DE-FOA-0003548, deadline July 24, 2026). TA1 (community construction, up to $7.5M, 10% cost share); TA2 (community pre-development, up to $1.5M); TA3 (large-scale planning/feasibility, up to $2.5M). Scenarios B and C use TA3 cap; Scenario A uses TA2 cap (community-scale microreactor).</t>
  </si>
  <si>
    <t xml:space="preserve">Scenario Model — Incentive Stack &amp; Net Project Cost</t>
  </si>
  <si>
    <t xml:space="preserve">Line Item</t>
  </si>
  <si>
    <t xml:space="preserve">Calculation Notes</t>
  </si>
  <si>
    <t xml:space="preserve">PROJECT COST</t>
  </si>
  <si>
    <t xml:space="preserve">Net output (MW)</t>
  </si>
  <si>
    <t xml:space="preserve">From Assumptions tab (row 7).</t>
  </si>
  <si>
    <t xml:space="preserve">From Assumptions tab (row 8).</t>
  </si>
  <si>
    <t xml:space="preserve">MW × $/kW × 1,000. Equals qualified cost basis for §48E ITC.</t>
  </si>
  <si>
    <t xml:space="preserve">§48E ITC STACK</t>
  </si>
  <si>
    <t xml:space="preserve">Base ITC % (with PWA)</t>
  </si>
  <si>
    <t xml:space="preserve">30% if PWA met, else 6%. From Assumptions row 21.</t>
  </si>
  <si>
    <t xml:space="preserve">Domestic content adder %</t>
  </si>
  <si>
    <t xml:space="preserve">+10 pp if 100% US steel/iron + qualifying US-manufactured product %. From Assumptions row 22.</t>
  </si>
  <si>
    <t xml:space="preserve">Energy community adder %</t>
  </si>
  <si>
    <t xml:space="preserve">+10 pp if site qualifies as energy community. From Assumptions row 23.</t>
  </si>
  <si>
    <t xml:space="preserve">§48E(h) Indian Land adder % (Cat. 2)</t>
  </si>
  <si>
    <t xml:space="preserve">+10 pp under §48E(h) — only for facilities &lt;5 MW. From Assumptions row 24.</t>
  </si>
  <si>
    <t xml:space="preserve">§48E(h) Low-Income Economic Benefit adder % (Cat. 4)</t>
  </si>
  <si>
    <t xml:space="preserve">+20 pp if ≥50% of benefits flow to low-income households. From Assumptions row 25.</t>
  </si>
  <si>
    <t xml:space="preserve">Sum of all adders, statutory cap 70%.</t>
  </si>
  <si>
    <t xml:space="preserve">ITC dollar value (= Direct Pay refund)</t>
  </si>
  <si>
    <t xml:space="preserve">For Tribes electing §6417 Direct Pay, this becomes a cash refund from IRS.</t>
  </si>
  <si>
    <t xml:space="preserve">DOE NON-TAX FINANCING</t>
  </si>
  <si>
    <t xml:space="preserve">DOE TEFP loan guarantee coverage %</t>
  </si>
  <si>
    <t xml:space="preserve">% of project cost covered by DOE Tribal Energy Financing Program loan guarantee. From Assumptions row 29.</t>
  </si>
  <si>
    <t xml:space="preserve">DOE TEFP loan guarantee amount ($)</t>
  </si>
  <si>
    <t xml:space="preserve">Project cost × coverage %. Up to $20B in TEFP guarantee authority.</t>
  </si>
  <si>
    <t xml:space="preserve">Capacity-building / planning grant. From DOE-IE NOFO ($100k–$5M range). From Assumptions row 31.</t>
  </si>
  <si>
    <t xml:space="preserve">Estimated debt cost savings (pv, $)</t>
  </si>
  <si>
    <t xml:space="preserve">Illustrative: TEFP-guaranteed debt amount × bps savings/10,000 × 15-year tenor (simplified, undiscounted).</t>
  </si>
  <si>
    <t xml:space="preserve">NET FEDERAL SUPPORT TO PROJECT</t>
  </si>
  <si>
    <t xml:space="preserve">Direct cash benefit (ITC + grants + debt savings)</t>
  </si>
  <si>
    <t xml:space="preserve">Sum of all direct dollar-value federal benefits captured in this model.</t>
  </si>
  <si>
    <t xml:space="preserve">Net effective project cost after federal support</t>
  </si>
  <si>
    <t xml:space="preserve">Project cost minus total federal benefits. Excludes loan-guarantee leverage effects.</t>
  </si>
  <si>
    <t xml:space="preserve">% federal support of total project cost</t>
  </si>
  <si>
    <t xml:space="preserve">Combined federal support as % of overnight capital cost.</t>
  </si>
  <si>
    <t xml:space="preserve">APPLICATION &amp; TIMING REQUIREMENTS</t>
  </si>
  <si>
    <t xml:space="preserve">§48E ITC + Direct Pay registration</t>
  </si>
  <si>
    <t xml:space="preserve">Required (IRS ECO portal)</t>
  </si>
  <si>
    <t xml:space="preserve">Pre-filing registration before placed-in-service. No competitive component.</t>
  </si>
  <si>
    <t xml:space="preserve">§48E(h) Indian Land bonus application</t>
  </si>
  <si>
    <t xml:space="preserve">Required — 2026 window: Feb 2 – Aug 7, 2026</t>
  </si>
  <si>
    <t xml:space="preserve">N/A (&gt;5 MW)</t>
  </si>
  <si>
    <t xml:space="preserve">Competitive allocation. 200 MW carve-out for Indian Land Cat. 2 in 2026.</t>
  </si>
  <si>
    <t xml:space="preserve">Domestic content documentation</t>
  </si>
  <si>
    <t xml:space="preserve">Required</t>
  </si>
  <si>
    <t xml:space="preserve">Supplier certifications + cost analysis. Mandatory for Direct Pay starting BOC 2026.</t>
  </si>
  <si>
    <t xml:space="preserve">Energy community substantiation</t>
  </si>
  <si>
    <t xml:space="preserve">N/A</t>
  </si>
  <si>
    <t xml:space="preserve">Brownfield assessment, MSA employment data, or coal-closure tract evidence.</t>
  </si>
  <si>
    <t xml:space="preserve">DOE TEFP loan guarantee</t>
  </si>
  <si>
    <t xml:space="preserve">Optional</t>
  </si>
  <si>
    <t xml:space="preserve">Recommended</t>
  </si>
  <si>
    <t xml:space="preserve">LPO Part I/Part II application. Multi-year process (per GAO-25-108720).</t>
  </si>
  <si>
    <t xml:space="preserve">DOE-IE grant (capacity / planning)</t>
  </si>
  <si>
    <t xml:space="preserve">NOFO via IE-Exchange. ~90 days to submit after NOFO release. 50% cost share typical.</t>
  </si>
  <si>
    <t xml:space="preserve">Begin-construction deadline (full credit)</t>
  </si>
  <si>
    <t xml:space="preserve">Before 2034</t>
  </si>
  <si>
    <t xml:space="preserve">Post-OBBBA: 100% credit through 2033; 75% in 2034; 50% in 2035; 0% in 2036+.</t>
  </si>
  <si>
    <t xml:space="preserve">Methodology Notes — Important Caveats and Refinements</t>
  </si>
  <si>
    <t xml:space="preserve">Topic</t>
  </si>
  <si>
    <t xml:space="preserve">Note</t>
  </si>
  <si>
    <t xml:space="preserve">ITC vs PTC adder math</t>
  </si>
  <si>
    <t xml:space="preserve">CRITICAL DISTINCTION. The bonus adders (domestic content, energy community, Indian land, low-income economic benefit) work DIFFERENTLY for the ITC vs PTC: • ITC adders are ADDITIVE percentage points on cost basis (e.g., 30% + 10% + 10% = 50% of cost basis). • PTC adders are MULTIPLICATIVE on the credit rate (e.g., $30/MWh × 1.10 × 1.10 = $36.30/MWh). This makes the ITC stack slightly more generous than the PTC stack when multiple adders apply. Source: IRS Notice 2023-29; IRS Notice 2023-38; Morgan Lewis confirms domestic content adder is '10% (not 10 percentage points)' for the PTC. This model uses the ITC throughout.</t>
  </si>
  <si>
    <t xml:space="preserve">Energy Community pre-qualification</t>
  </si>
  <si>
    <t xml:space="preserve">Many Tribal lands automatically qualify for the +10 pp Energy Community adder due to historical uranium and fossil fuel activity. From 1950–1980, 96% of all U.S. defense-related uranium mines were on Tribal land (Navajo, Pueblo of Laguna, Pueblo of Zuni, Hualapai, Tohono O'odham, Spokane, Ute). Many of these former mining areas qualify as brownfield sites under CERCLA. Project developers should check site eligibility at the DOE/NETL Energy Community Mapping Tool: https://arcgis.netl.doe.gov/portal/apps/experiencebuilder/experience/?id=785ee47a99d24b36b405acd03d97a5f9 Tribal lands hosting closed coal plants or in fossil-fuel statistical areas may also qualify. Source: Wilson Center, Nuclear Power is Tribal Power.</t>
  </si>
  <si>
    <t xml:space="preserve">§48E(h) Indian Land bonus 5 MW cap</t>
  </si>
  <si>
    <t xml:space="preserve">The +10 pp Indian Land bonus applies ONLY to facilities with maximum net output under 5 MW. Microreactors (typically 1–10 MWe) may qualify; SMRs (50–300 MWe) and large reactors do NOT. This is a frequent point of confusion. Source: IRC §48E(h)(2)(A); IRS Rev. Proc. 2025-11.</t>
  </si>
  <si>
    <t xml:space="preserve">PWA &lt;1 MW exemption</t>
  </si>
  <si>
    <t xml:space="preserve">Facilities with maximum net output under 1 MW are statutorily exempt from prevailing wage and apprenticeship requirements and automatically receive the full 30% ITC base rate. Most realistic Tribal microreactor projects (3–5 MWe) do NOT qualify for this exemption. Source: IRC §48E(a)(2)(A); Plante Moran 2025.</t>
  </si>
  <si>
    <t xml:space="preserve">Direct Pay vs Transferability</t>
  </si>
  <si>
    <t xml:space="preserve">Tribal governments using §6417 Direct Pay receive 100% of credit value as a tax refund. Private developers using §6418 Transferability typically sell credits at 92–94 cents on the dollar (per Crux Climate market data 2024–2025). On a $1.1B SMR ITC, the Direct Pay advantage to the Tribe is ~$66–88M of preserved value vs. selling the credits.</t>
  </si>
  <si>
    <t xml:space="preserve">TEFP loan ceiling</t>
  </si>
  <si>
    <t xml:space="preserve">DOE Tribal Energy Financing Program (TEFP, formerly TELGP) can support UP TO 80% of eligible project costs (statutory ceiling, per DOE TEFP FAQ). Actual coverage depends on project cash flow capacity. TEFP is now administered by the DOE Office of Energy Dominance Financing (EDF), not the Loan Programs Office. The Working Families Tax Cut eliminated the prior Federal Support Restriction, allowing more permissive stacking with other federal incentives (including ITC + Direct Pay).</t>
  </si>
  <si>
    <t xml:space="preserve">DOE-IE grant updates</t>
  </si>
  <si>
    <t xml:space="preserve">Current grant cycle is the $50M 'Unleashing Tribal Energy Development' NOFO (DE-FOA-0003548), released March 25, 2026. Deadline: July 24, 2026 at 5:00 PM ET. TA1 (construction): up to $7.5M, 10% cost share. TA2 (community pre-development): up to $1.5M, 0% cost share. TA3 (large-scale planning, most relevant for nuclear): up to $2.5M, 0% cost share. Nuclear is explicitly listed as an eligible technology category.</t>
  </si>
  <si>
    <t xml:space="preserve">OBBBA phasedown for nuclear</t>
  </si>
  <si>
    <t xml:space="preserve">Nuclear ITC/PTC retains 100% credit value through 2033, then phases down: 75% in 2034, 50% in 2035, 0% in 2036+. This is more generous than the wind/solar phasedown (which begins immediately for wind/solar projects beginning construction after July 4, 2026). Source: P.L. 119-21 (OBBBA, July 4, 2025); Morgan Lewis, July 2025.</t>
  </si>
  <si>
    <t xml:space="preserve">FEOC restrictions</t>
  </si>
  <si>
    <t xml:space="preserve">Foreign Entity of Concern (FEOC) restrictions apply to projects beginning construction in 2026+. Specified Foreign Entities (SFE — entities tied to China, Russia, North Korea, Iran) are ineligible for §48E ITC and §45Y PTC. 'Material assistance' from SFE/FIE-sourced components above year-specific thresholds also disqualifies. Tribal projects need supply chain due diligence as a financing-close condition. Source: P.L. 119-21 (OBBBA); Morgan Lewis 2025.</t>
  </si>
  <si>
    <t xml:space="preserve">Non-electric end uses</t>
  </si>
  <si>
    <t xml:space="preserve">Beyond grid electricity, Tribal nuclear projects can deliver value via process heat, hydrogen, desalination, district heating, and data center co-location. Note: §45V clean hydrogen credit is REPEALED for projects beginning construction after Dec 31, 2025 under OBBBA, narrowing the timing window for nuclear-hydrogen pairing tax incentives.</t>
  </si>
  <si>
    <t xml:space="preserve">Source Citations</t>
  </si>
  <si>
    <t xml:space="preserve">Source</t>
  </si>
  <si>
    <t xml:space="preserve">URL</t>
  </si>
  <si>
    <t xml:space="preserve">DOE 'Unleashing Tribal Energy Development' $50M NOFO Announcement (March 2026)</t>
  </si>
  <si>
    <t xml:space="preserve">https://www.energy.gov/articles/energy-department-announces-50-million-investment-advance-affordable-reliable-and-secure</t>
  </si>
  <si>
    <t xml:space="preserve">DOE Office of Energy Dominance Financing (EDF)</t>
  </si>
  <si>
    <t xml:space="preserve">https://www.energy.gov/EDF</t>
  </si>
  <si>
    <t xml:space="preserve">DOE TEFP Frequently Asked Questions (80% cap, eligibility)</t>
  </si>
  <si>
    <t xml:space="preserve">https://www.energy.gov/edf/tribal-energy-financing-program-frequently-asked-questions</t>
  </si>
  <si>
    <t xml:space="preserve">DOE Tribal Energy Financing Program Page</t>
  </si>
  <si>
    <t xml:space="preserve">https://www.energy.gov/LPO/Tribal</t>
  </si>
  <si>
    <t xml:space="preserve">DOE/NETL Energy Community Mapping Tool</t>
  </si>
  <si>
    <t xml:space="preserve">https://arcgis.netl.doe.gov/portal/apps/experiencebuilder/experience/?id=785ee47a99d24b36b405acd03d97a5f9</t>
  </si>
  <si>
    <t xml:space="preserve">Wilson Center — Nuclear Power is Tribal Power</t>
  </si>
  <si>
    <t xml:space="preserve">https://www.wilsoncenter.org/article/nuclear-power-tribal-power</t>
  </si>
  <si>
    <t xml:space="preserve">Crux Climate — Transferable Tax Credits Market Pricing</t>
  </si>
  <si>
    <t xml:space="preserve">https://www.cruxclimate.com/insights/transferable-tax-credits</t>
  </si>
  <si>
    <t xml:space="preserve">Morgan Lewis — Domestic Content Bonus Adder Mechanics (PTC vs ITC)</t>
  </si>
  <si>
    <t xml:space="preserve">https://www.morganlewis.com/pubs/2023/05/irs-releases-highly-anticipated-guidance-on-domestic-content-ira-tax-credit-adder</t>
  </si>
  <si>
    <t xml:space="preserve">Plante Moran — PWA Requirements &amp; &lt;1MW Exemption</t>
  </si>
  <si>
    <t xml:space="preserve">https://www.plantemoran.com/explore-our-thinking/insight/2025/01/prevailing-wage-requirements-for-bonus-ira-energy-tax-credits</t>
  </si>
  <si>
    <t xml:space="preserve">U.S. Treasury — Press Release JY1830 (Tax Incentives Fact Sheet)</t>
  </si>
  <si>
    <t xml:space="preserve">https://home.treasury.gov/news/press-releases/jy1830</t>
  </si>
  <si>
    <t xml:space="preserve">U.S. Treasury — Press Release JY2775 (§48E(h) Final Rules, Jan 2025)</t>
  </si>
  <si>
    <t xml:space="preserve">https://home.treasury.gov/news/press-releases/jy2775</t>
  </si>
  <si>
    <t xml:space="preserve">Treasury — §48E Tribal Consultation Summary (Jan 2025)</t>
  </si>
  <si>
    <t xml:space="preserve">https://home.treasury.gov/system/files/136/48E-Tribal-Consultation-Summary-Federal-Response-1-8-25.pdf</t>
  </si>
  <si>
    <t xml:space="preserve">IRS — Clean Electricity Low-Income Communities Bonus Credit Program (§48E(h))</t>
  </si>
  <si>
    <t xml:space="preserve">https://www.irs.gov/credits-deductions/clean-electricity-low-income-communities-bonus-credit-amount-program</t>
  </si>
  <si>
    <t xml:space="preserve">IRS — FAQs on Energy Communities</t>
  </si>
  <si>
    <t xml:space="preserve">https://www.irs.gov/credits-deductions/frequently-asked-questions-for-energy-communities</t>
  </si>
  <si>
    <t xml:space="preserve">IRS — Credits and Deductions Under the IRA of 2022</t>
  </si>
  <si>
    <t xml:space="preserve">https://www.irs.gov/credits-and-deductions-under-the-inflation-reduction-act-of-2022</t>
  </si>
  <si>
    <t xml:space="preserve">IRS — Rev. Proc. 2025-11 (§48E(h) Application Process)</t>
  </si>
  <si>
    <t xml:space="preserve">https://www.irs.gov/pub/irs-drop/rp-25-11.pdf</t>
  </si>
  <si>
    <t xml:space="preserve">IRS — Pub. 5817-G Elective Pay Eligible Tax Credits</t>
  </si>
  <si>
    <t xml:space="preserve">https://www.irs.gov/pub/irs-pdf/p5817g.pdf</t>
  </si>
  <si>
    <t xml:space="preserve">Federal Register — Final Rule §48E(h), Jan 13, 2025</t>
  </si>
  <si>
    <t xml:space="preserve">https://www.federalregister.gov/documents/2025/01/13/2025-00331/guidance-on-clean-electricity-low-income-communities-bonus-credit-amount-program</t>
  </si>
  <si>
    <t xml:space="preserve">DOE Office of Nuclear Energy — IRA Nuclear Power Article</t>
  </si>
  <si>
    <t xml:space="preserve">https://www.energy.gov/ne/articles/inflation-reduction-act-keeps-momentum-building-nuclear-power</t>
  </si>
  <si>
    <t xml:space="preserve">DOE Office of Indian Energy — Funding Opportunity 2025 Announcement</t>
  </si>
  <si>
    <t xml:space="preserve">https://www.energy.gov/indianenergy/articles/us-department-energy-announce-funding-opportunity-energy-technology-0</t>
  </si>
  <si>
    <t xml:space="preserve">DOE Office of Indian Energy — Funding Page</t>
  </si>
  <si>
    <t xml:space="preserve">https://www.energy.gov/indianenergy/funding</t>
  </si>
  <si>
    <t xml:space="preserve">DOE IE-Exchange Funding Portal</t>
  </si>
  <si>
    <t xml:space="preserve">https://ie-exchange.energy.gov/</t>
  </si>
  <si>
    <t xml:space="preserve">DOE Tribal Energy Webinar — Treasury Briefing (Jan 2023)</t>
  </si>
  <si>
    <t xml:space="preserve">https://www.energy.gov/sites/default/files/2023-01/2-us-treasury-ie-ira-jan-2023.pdf</t>
  </si>
  <si>
    <t xml:space="preserve">DOE Tribal Energy Webinar — 48(e) and Elective Pay (2023)</t>
  </si>
  <si>
    <t xml:space="preserve">https://www.energy.gov/indianenergy/2023-tribal-energy-webinar-series-understanding-48e-and-elective-pay-tribal</t>
  </si>
  <si>
    <t xml:space="preserve">EPA — Summary of IRA Provisions for Renewable Energy</t>
  </si>
  <si>
    <t xml:space="preserve">https://www.epa.gov/green-power-markets/summary-inflation-reduction-act-provisions-related-renewable-energy</t>
  </si>
  <si>
    <t xml:space="preserve">EPA — Federal Brownfields Programs (Energy Community)</t>
  </si>
  <si>
    <t xml:space="preserve">https://www.epa.gov/brownfields/federal-programs</t>
  </si>
  <si>
    <t xml:space="preserve">Congressional Research Service R48358 — Domestic Content Requirements</t>
  </si>
  <si>
    <t xml:space="preserve">https://www.congress.gov/crs-product/R48358</t>
  </si>
  <si>
    <t xml:space="preserve">Congressional Research Service IF11793 — Indian Energy Programs at DOE</t>
  </si>
  <si>
    <t xml:space="preserve">https://www.congress.gov/crs-product/IF11793</t>
  </si>
  <si>
    <t xml:space="preserve">GAO-25-108720 — Tribal Energy Finance: DOE Actions Needed</t>
  </si>
  <si>
    <t xml:space="preserve">https://files.gao.gov/reports/GAO-25-108720/index.html</t>
  </si>
  <si>
    <t xml:space="preserve">Morgan Lewis — Impact of OBBBA on Nuclear Tax Incentives (July 2025)</t>
  </si>
  <si>
    <t xml:space="preserve">https://www.morganlewis.com/pubs/2025/07/the-impact-of-the-one-big-beautiful-bill-act-on-nuclear-tax-incentives</t>
  </si>
  <si>
    <t xml:space="preserve">Morgan Lewis — IRA Boosts Nuclear Power (Aug 2022)</t>
  </si>
  <si>
    <t xml:space="preserve">https://www.morganlewis.com/pubs/2022/08/inflation-reduction-act-of-2022-boosts-nuclear-power-with-tax-credits-and-funding</t>
  </si>
  <si>
    <t xml:space="preserve">Sidley Austin — Navigating the OBBBA Energy Landscape</t>
  </si>
  <si>
    <t xml:space="preserve">https://www.sidley.com/en/insights/newsupdates/2025/07/the-one-big-beautiful-bill-act-navigating-the-new-energy-landscape</t>
  </si>
  <si>
    <t xml:space="preserve">Baker Botts — OBBBA Clean Energy Tax Landscape (July 2025)</t>
  </si>
  <si>
    <t xml:space="preserve">https://www.bakerbotts.com/thought-leadership/publications/2025/july/one-big-beautiful-bill-act-substantially-alters-clean-energy-tax-landscape</t>
  </si>
  <si>
    <t xml:space="preserve">Kirkland &amp; Ellis — OBBBA Brings Big Changes to Green Energy Tax Credits</t>
  </si>
  <si>
    <t xml:space="preserve">https://www.kirkland.com/publications/kirkland-alert/2025/08/one-big-beautiful-bill-act-brings-big-changes-to-green-energy-tax-credits</t>
  </si>
  <si>
    <t xml:space="preserve">Latham &amp; Watkins — OBBBA Disrupts Clean Energy Investment</t>
  </si>
  <si>
    <t xml:space="preserve">https://www.lw.com/en/insights/one-big-beautiful-bill-new-law-disrupts-clean-energy-investment</t>
  </si>
  <si>
    <t xml:space="preserve">Quarles &amp; Brady — IRA Summary for Tribal Governments</t>
  </si>
  <si>
    <t xml:space="preserve">https://www.quarles.com/newsroom/publications/a-summary-of-inflation-reduction-act-for-tribal-governments</t>
  </si>
  <si>
    <t xml:space="preserve">Moss Adams — Overview of IRA Clean Energy Tax Legislation</t>
  </si>
  <si>
    <t xml:space="preserve">https://www.mossadams.com/articles/2022/08/inflation-reduction-act-clean-energy-credits</t>
  </si>
  <si>
    <t xml:space="preserve">Nixon Peabody — Energy Community Bonus Eligibility</t>
  </si>
  <si>
    <t xml:space="preserve">https://www.nixonpeabody.com/insights/alerts/2023/04/27/eligibility-requirements-for-energy-community-bonus-tax-credits</t>
  </si>
  <si>
    <t xml:space="preserve">NC Clean Energy Technology Center — 2024 Advanced Nuclear Review</t>
  </si>
  <si>
    <t xml:space="preserve">https://nccleantech.ncsu.edu/2025/01/28/2024-in-review-navigating-the-advanced-nuclear-landscape/</t>
  </si>
  <si>
    <t xml:space="preserve">Nuclear Innovation Alliance — Importance of Tax Credits for U.S. Nuclear Leadership</t>
  </si>
  <si>
    <t xml:space="preserve">https://nuclearinnovationalliance.org/sites/default/files/2025-03/Importance%20of%20Tax%20Credits%20-%20Final.pdf</t>
  </si>
  <si>
    <t xml:space="preserve">Nuclear Innovation Alliance — Implications of IRA Tax Credits for Advanced Nuclear</t>
  </si>
  <si>
    <t xml:space="preserve">https://nuclearinnovationalliance.org/sites/default/files/2023-12/Final%20Report%20V1%20-%20Implications%20of%20Inflation%20Reduction%20Act%20Tax%20Credits%20-%20December%202023.pdf</t>
  </si>
  <si>
    <t xml:space="preserve">Law Journal for Social Justice — Tribes &amp; §48 Tax Credits Under IRA</t>
  </si>
  <si>
    <t xml:space="preserve">https://ljsj.wordpress.com/2024/02/02/tribes-may-take-advantage-of-section-48-tax-credits-under-the-inflation-reduction-act-to-develop-clean-energy-projects/</t>
  </si>
  <si>
    <t xml:space="preserve">Arizona Governor's Office — §48(e)/§48E(h) Bonus Credit Overview</t>
  </si>
  <si>
    <t xml:space="preserve">https://resilient.az.gov/clean-energy-hub/businesses/low-income-communities-bonus-credit</t>
  </si>
  <si>
    <t xml:space="preserve">American Cities Climate Challenge — 48(e), 48E(h) Low-Income Communities Bonus</t>
  </si>
  <si>
    <t xml:space="preserve">https://cityrenewables.org/ffold/48e-48eh-low-income-communities-bonus-credit/</t>
  </si>
  <si>
    <t xml:space="preserve">Reunion — Energy Community Bonus Adder Spotlight</t>
  </si>
  <si>
    <t xml:space="preserve">https://www.reunioninfra.com/insights/spotlight-on-the-energy-community-bonus-credit-adder</t>
  </si>
  <si>
    <t xml:space="preserve">RSM US — Energy Communities Bonus Credit Guidance</t>
  </si>
  <si>
    <t xml:space="preserve">https://rsmus.com/insights/tax-alerts/2023/Energy-communities-bonus-credit-new-guidance-clarifies-eligibility.html</t>
  </si>
  <si>
    <t xml:space="preserve">Hodgson Russ — OBBBA Modifies Renewable Energy Tax Credits</t>
  </si>
  <si>
    <t xml:space="preserve">https://www.hodgsonruss.com/newsroom/publications/one-big-beautiful-bill-act-modifies-qualification-requirements-for-renewable-energy-tax-credits</t>
  </si>
  <si>
    <t xml:space="preserve">Hogan Lovells — SFC Revises House Energy Tax Provisions in OBBB</t>
  </si>
  <si>
    <t xml:space="preserve">https://www.hoganlovells.com/en/publications/senate-finance-committee-revises-house-energy-tax-provisions-in-one-big-beautiful-bill</t>
  </si>
  <si>
    <t xml:space="preserve">Chapman &amp; Cutler — Impact of OBBB on Clean Energy Tax Credits</t>
  </si>
  <si>
    <t xml:space="preserve">https://www.chapman.com/publication-impact-of-one-big-beautiful-bill-on-clean-energy-tax-credits</t>
  </si>
  <si>
    <t xml:space="preserve">Novogradac — OBBBA and the Clean Energy Race Against the Clock</t>
  </si>
  <si>
    <t xml:space="preserve">https://www.novoco.com/periodicals/articles/obbba-and-the-clean-energy-race-against-the-clock</t>
  </si>
  <si>
    <t xml:space="preserve">CEBN — Insight into Direct Pay for Clean Energy Tax Credits</t>
  </si>
  <si>
    <t xml:space="preserve">https://www.cebn.org/media_resources/insight-into-direct-pay/</t>
  </si>
  <si>
    <t xml:space="preserve">CEBN — Insight into IRA Energy Communities Bonus Tax Credit</t>
  </si>
  <si>
    <t xml:space="preserve">https://www.cebn.org/media_resources/ira-energy-communities-bonus-credit/</t>
  </si>
  <si>
    <t xml:space="preserve">Nat'l Law Review — Energy Tax Credits New World Part VI (Energy Community)</t>
  </si>
  <si>
    <t xml:space="preserve">https://natlawreview.com/article/energy-tax-credits-new-world-part-vi-energy-community-bonus-credits</t>
  </si>
  <si>
    <t xml:space="preserve">Nat'l Law Review — Energy Tax Credits New World Part VII (Low-Income Bonus)</t>
  </si>
  <si>
    <t xml:space="preserve">https://natlawreview.com/article/energy-tax-credits-new-world-part-vii-low-income-communities-bonus-credits</t>
  </si>
  <si>
    <t xml:space="preserve">USET — Tribal Leader Letter on §48E(h) Guidance (Aug 2024)</t>
  </si>
  <si>
    <t xml:space="preserve">https://www.usetinc.org/wp-content/uploads/2024/09/DTLL_Guidance_on_Technology_Neutral_Low-Income_Communities_Bonus_Amoung_Program.pdf</t>
  </si>
</sst>
</file>

<file path=xl/styles.xml><?xml version="1.0" encoding="utf-8"?>
<styleSheet xmlns="http://schemas.openxmlformats.org/spreadsheetml/2006/main">
  <numFmts count="7">
    <numFmt numFmtId="164" formatCode="General"/>
    <numFmt numFmtId="165" formatCode="#,##0.0&quot; MW&quot;"/>
    <numFmt numFmtId="166" formatCode="\$#,##0;&quot;($&quot;#,##0\);\-"/>
    <numFmt numFmtId="167" formatCode="\$#,##0.0,,&quot; M&quot;;&quot;($&quot;#,##0.0,,&quot; M)&quot;;\-"/>
    <numFmt numFmtId="168" formatCode="0"/>
    <numFmt numFmtId="169" formatCode="0.0%;\(0.0%\);\-"/>
    <numFmt numFmtId="170" formatCode="#,##0&quot; bps&quot;"/>
  </numFmts>
  <fonts count="16">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color rgb="FF1F4E78"/>
      <name val="Arial"/>
      <family val="0"/>
      <charset val="1"/>
    </font>
    <font>
      <b val="true"/>
      <sz val="11"/>
      <color rgb="FFFFFFFF"/>
      <name val="Arial"/>
      <family val="0"/>
      <charset val="1"/>
    </font>
    <font>
      <b val="true"/>
      <sz val="10"/>
      <name val="Arial"/>
      <family val="0"/>
      <charset val="1"/>
    </font>
    <font>
      <sz val="10"/>
      <color rgb="FF0000FF"/>
      <name val="Arial"/>
      <family val="0"/>
      <charset val="1"/>
    </font>
    <font>
      <i val="true"/>
      <sz val="9"/>
      <color rgb="FF595959"/>
      <name val="Arial"/>
      <family val="0"/>
      <charset val="1"/>
    </font>
    <font>
      <sz val="10"/>
      <color rgb="FF000000"/>
      <name val="Arial"/>
      <family val="0"/>
      <charset val="1"/>
    </font>
    <font>
      <sz val="10"/>
      <name val="Arial"/>
      <family val="2"/>
    </font>
    <font>
      <sz val="10"/>
      <color rgb="FF008000"/>
      <name val="Arial"/>
      <family val="0"/>
      <charset val="1"/>
    </font>
    <font>
      <b val="true"/>
      <sz val="10"/>
      <color rgb="FF000000"/>
      <name val="Arial"/>
      <family val="0"/>
      <charset val="1"/>
    </font>
    <font>
      <u val="single"/>
      <sz val="10"/>
      <color rgb="FF0000FF"/>
      <name val="Arial"/>
      <family val="0"/>
      <charset val="1"/>
    </font>
  </fonts>
  <fills count="6">
    <fill>
      <patternFill patternType="none"/>
    </fill>
    <fill>
      <patternFill patternType="gray125"/>
    </fill>
    <fill>
      <patternFill patternType="solid">
        <fgColor rgb="FF2E75B6"/>
        <bgColor rgb="FF0066CC"/>
      </patternFill>
    </fill>
    <fill>
      <patternFill patternType="solid">
        <fgColor rgb="FFD5E8F0"/>
        <bgColor rgb="FFE2EFDA"/>
      </patternFill>
    </fill>
    <fill>
      <patternFill patternType="solid">
        <fgColor rgb="FFFFF2CC"/>
        <bgColor rgb="FFE2EFDA"/>
      </patternFill>
    </fill>
    <fill>
      <patternFill patternType="solid">
        <fgColor rgb="FFE2EFDA"/>
        <bgColor rgb="FFD5E8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9" fontId="9"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70" fontId="9" fillId="0" borderId="1" xfId="0" applyFont="true" applyBorder="true" applyAlignment="true" applyProtection="false">
      <alignment horizontal="right" vertical="center" textRotation="0" wrapText="false" indent="0" shrinkToFit="false"/>
      <protection locked="true" hidden="false"/>
    </xf>
    <xf numFmtId="165" fontId="13" fillId="0" borderId="1" xfId="0" applyFont="true" applyBorder="true" applyAlignment="true" applyProtection="false">
      <alignment horizontal="right" vertical="center" textRotation="0" wrapText="false" indent="0"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7" fontId="14" fillId="0" borderId="1" xfId="0" applyFont="true" applyBorder="true" applyAlignment="true" applyProtection="false">
      <alignment horizontal="right" vertical="center" textRotation="0" wrapText="false" indent="0" shrinkToFit="false"/>
      <protection locked="true" hidden="false"/>
    </xf>
    <xf numFmtId="169" fontId="13" fillId="0" borderId="1" xfId="0" applyFont="true" applyBorder="true" applyAlignment="true" applyProtection="false">
      <alignment horizontal="righ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9" fontId="14" fillId="4"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7" fontId="14" fillId="5" borderId="1" xfId="0" applyFont="true" applyBorder="true" applyAlignment="true" applyProtection="false">
      <alignment horizontal="right"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7" fontId="13" fillId="0" borderId="1" xfId="0" applyFont="true" applyBorder="true" applyAlignment="true" applyProtection="false">
      <alignment horizontal="right" vertical="center" textRotation="0" wrapText="false" indent="0" shrinkToFit="false"/>
      <protection locked="true" hidden="false"/>
    </xf>
    <xf numFmtId="169" fontId="14" fillId="5"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hyperlink" Target="https://www.energy.gov/articles/energy-department-announces-50-million-investment-advance-affordable-reliable-and-secure" TargetMode="External"/><Relationship Id="rId2" Type="http://schemas.openxmlformats.org/officeDocument/2006/relationships/hyperlink" Target="https://www.energy.gov/EDF" TargetMode="External"/><Relationship Id="rId3" Type="http://schemas.openxmlformats.org/officeDocument/2006/relationships/hyperlink" Target="https://www.energy.gov/edf/tribal-energy-financing-program-frequently-asked-questions" TargetMode="External"/><Relationship Id="rId4" Type="http://schemas.openxmlformats.org/officeDocument/2006/relationships/hyperlink" Target="https://www.energy.gov/LPO/Tribal" TargetMode="External"/><Relationship Id="rId5" Type="http://schemas.openxmlformats.org/officeDocument/2006/relationships/hyperlink" Target="https://arcgis.netl.doe.gov/portal/apps/experiencebuilder/experience/?id=785ee47a99d24b36b405acd03d97a5f9" TargetMode="External"/><Relationship Id="rId6" Type="http://schemas.openxmlformats.org/officeDocument/2006/relationships/hyperlink" Target="https://www.wilsoncenter.org/article/nuclear-power-tribal-power" TargetMode="External"/><Relationship Id="rId7" Type="http://schemas.openxmlformats.org/officeDocument/2006/relationships/hyperlink" Target="https://www.cruxclimate.com/insights/transferable-tax-credits" TargetMode="External"/><Relationship Id="rId8" Type="http://schemas.openxmlformats.org/officeDocument/2006/relationships/hyperlink" Target="https://www.morganlewis.com/pubs/2023/05/irs-releases-highly-anticipated-guidance-on-domestic-content-ira-tax-credit-adder" TargetMode="External"/><Relationship Id="rId9" Type="http://schemas.openxmlformats.org/officeDocument/2006/relationships/hyperlink" Target="https://www.plantemoran.com/explore-our-thinking/insight/2025/01/prevailing-wage-requirements-for-bonus-ira-energy-tax-credits" TargetMode="External"/><Relationship Id="rId10" Type="http://schemas.openxmlformats.org/officeDocument/2006/relationships/hyperlink" Target="https://home.treasury.gov/news/press-releases/jy1830" TargetMode="External"/><Relationship Id="rId11" Type="http://schemas.openxmlformats.org/officeDocument/2006/relationships/hyperlink" Target="https://home.treasury.gov/news/press-releases/jy2775" TargetMode="External"/><Relationship Id="rId12" Type="http://schemas.openxmlformats.org/officeDocument/2006/relationships/hyperlink" Target="https://home.treasury.gov/system/files/136/48E-Tribal-Consultation-Summary-Federal-Response-1-8-25.pdf" TargetMode="External"/><Relationship Id="rId13" Type="http://schemas.openxmlformats.org/officeDocument/2006/relationships/hyperlink" Target="https://www.irs.gov/credits-deductions/clean-electricity-low-income-communities-bonus-credit-amount-program" TargetMode="External"/><Relationship Id="rId14" Type="http://schemas.openxmlformats.org/officeDocument/2006/relationships/hyperlink" Target="https://www.irs.gov/credits-deductions/frequently-asked-questions-for-energy-communities" TargetMode="External"/><Relationship Id="rId15" Type="http://schemas.openxmlformats.org/officeDocument/2006/relationships/hyperlink" Target="https://www.irs.gov/credits-and-deductions-under-the-inflation-reduction-act-of-2022" TargetMode="External"/><Relationship Id="rId16" Type="http://schemas.openxmlformats.org/officeDocument/2006/relationships/hyperlink" Target="https://www.irs.gov/pub/irs-drop/rp-25-11.pdf" TargetMode="External"/><Relationship Id="rId17" Type="http://schemas.openxmlformats.org/officeDocument/2006/relationships/hyperlink" Target="https://www.irs.gov/pub/irs-pdf/p5817g.pdf" TargetMode="External"/><Relationship Id="rId18" Type="http://schemas.openxmlformats.org/officeDocument/2006/relationships/hyperlink" Target="https://www.federalregister.gov/documents/2025/01/13/2025-00331/guidance-on-clean-electricity-low-income-communities-bonus-credit-amount-program" TargetMode="External"/><Relationship Id="rId19" Type="http://schemas.openxmlformats.org/officeDocument/2006/relationships/hyperlink" Target="https://www.energy.gov/ne/articles/inflation-reduction-act-keeps-momentum-building-nuclear-power" TargetMode="External"/><Relationship Id="rId20" Type="http://schemas.openxmlformats.org/officeDocument/2006/relationships/hyperlink" Target="https://www.energy.gov/indianenergy/articles/us-department-energy-announce-funding-opportunity-energy-technology-0" TargetMode="External"/><Relationship Id="rId21" Type="http://schemas.openxmlformats.org/officeDocument/2006/relationships/hyperlink" Target="https://www.energy.gov/indianenergy/funding" TargetMode="External"/><Relationship Id="rId22" Type="http://schemas.openxmlformats.org/officeDocument/2006/relationships/hyperlink" Target="https://ie-exchange.energy.gov/" TargetMode="External"/><Relationship Id="rId23" Type="http://schemas.openxmlformats.org/officeDocument/2006/relationships/hyperlink" Target="https://www.energy.gov/sites/default/files/2023-01/2-us-treasury-ie-ira-jan-2023.pdf" TargetMode="External"/><Relationship Id="rId24" Type="http://schemas.openxmlformats.org/officeDocument/2006/relationships/hyperlink" Target="https://www.energy.gov/indianenergy/2023-tribal-energy-webinar-series-understanding-48e-and-elective-pay-tribal" TargetMode="External"/><Relationship Id="rId25" Type="http://schemas.openxmlformats.org/officeDocument/2006/relationships/hyperlink" Target="https://www.epa.gov/green-power-markets/summary-inflation-reduction-act-provisions-related-renewable-energy" TargetMode="External"/><Relationship Id="rId26" Type="http://schemas.openxmlformats.org/officeDocument/2006/relationships/hyperlink" Target="https://www.epa.gov/brownfields/federal-programs" TargetMode="External"/><Relationship Id="rId27" Type="http://schemas.openxmlformats.org/officeDocument/2006/relationships/hyperlink" Target="https://www.congress.gov/crs-product/R48358" TargetMode="External"/><Relationship Id="rId28" Type="http://schemas.openxmlformats.org/officeDocument/2006/relationships/hyperlink" Target="https://www.congress.gov/crs-product/IF11793" TargetMode="External"/><Relationship Id="rId29" Type="http://schemas.openxmlformats.org/officeDocument/2006/relationships/hyperlink" Target="https://files.gao.gov/reports/GAO-25-108720/index.html" TargetMode="External"/><Relationship Id="rId30" Type="http://schemas.openxmlformats.org/officeDocument/2006/relationships/hyperlink" Target="https://www.morganlewis.com/pubs/2025/07/the-impact-of-the-one-big-beautiful-bill-act-on-nuclear-tax-incentives" TargetMode="External"/><Relationship Id="rId31" Type="http://schemas.openxmlformats.org/officeDocument/2006/relationships/hyperlink" Target="https://www.morganlewis.com/pubs/2022/08/inflation-reduction-act-of-2022-boosts-nuclear-power-with-tax-credits-and-funding" TargetMode="External"/><Relationship Id="rId32" Type="http://schemas.openxmlformats.org/officeDocument/2006/relationships/hyperlink" Target="https://www.sidley.com/en/insights/newsupdates/2025/07/the-one-big-beautiful-bill-act-navigating-the-new-energy-landscape" TargetMode="External"/><Relationship Id="rId33" Type="http://schemas.openxmlformats.org/officeDocument/2006/relationships/hyperlink" Target="https://www.bakerbotts.com/thought-leadership/publications/2025/july/one-big-beautiful-bill-act-substantially-alters-clean-energy-tax-landscape" TargetMode="External"/><Relationship Id="rId34" Type="http://schemas.openxmlformats.org/officeDocument/2006/relationships/hyperlink" Target="https://www.kirkland.com/publications/kirkland-alert/2025/08/one-big-beautiful-bill-act-brings-big-changes-to-green-energy-tax-credits" TargetMode="External"/><Relationship Id="rId35" Type="http://schemas.openxmlformats.org/officeDocument/2006/relationships/hyperlink" Target="https://www.lw.com/en/insights/one-big-beautiful-bill-new-law-disrupts-clean-energy-investment" TargetMode="External"/><Relationship Id="rId36" Type="http://schemas.openxmlformats.org/officeDocument/2006/relationships/hyperlink" Target="https://www.quarles.com/newsroom/publications/a-summary-of-inflation-reduction-act-for-tribal-governments" TargetMode="External"/><Relationship Id="rId37" Type="http://schemas.openxmlformats.org/officeDocument/2006/relationships/hyperlink" Target="https://www.mossadams.com/articles/2022/08/inflation-reduction-act-clean-energy-credits" TargetMode="External"/><Relationship Id="rId38" Type="http://schemas.openxmlformats.org/officeDocument/2006/relationships/hyperlink" Target="https://www.nixonpeabody.com/insights/alerts/2023/04/27/eligibility-requirements-for-energy-community-bonus-tax-credits" TargetMode="External"/><Relationship Id="rId39" Type="http://schemas.openxmlformats.org/officeDocument/2006/relationships/hyperlink" Target="https://nccleantech.ncsu.edu/2025/01/28/2024-in-review-navigating-the-advanced-nuclear-landscape/" TargetMode="External"/><Relationship Id="rId40" Type="http://schemas.openxmlformats.org/officeDocument/2006/relationships/hyperlink" Target="https://nuclearinnovationalliance.org/sites/default/files/2025-03/Importance%20of%20Tax%20Credits%20-%20Final.pdf" TargetMode="External"/><Relationship Id="rId41" Type="http://schemas.openxmlformats.org/officeDocument/2006/relationships/hyperlink" Target="https://nuclearinnovationalliance.org/sites/default/files/2023-12/Final%20Report%20V1%20-%20Implications%20of%20Inflation%20Reduction%20Act%20Tax%20Credits%20-%20December%202023.pdf" TargetMode="External"/><Relationship Id="rId42" Type="http://schemas.openxmlformats.org/officeDocument/2006/relationships/hyperlink" Target="https://ljsj.wordpress.com/2024/02/02/tribes-may-take-advantage-of-section-48-tax-credits-under-the-inflation-reduction-act-to-develop-clean-energy-projects/" TargetMode="External"/><Relationship Id="rId43" Type="http://schemas.openxmlformats.org/officeDocument/2006/relationships/hyperlink" Target="https://resilient.az.gov/clean-energy-hub/businesses/low-income-communities-bonus-credit" TargetMode="External"/><Relationship Id="rId44" Type="http://schemas.openxmlformats.org/officeDocument/2006/relationships/hyperlink" Target="https://cityrenewables.org/ffold/48e-48eh-low-income-communities-bonus-credit/" TargetMode="External"/><Relationship Id="rId45" Type="http://schemas.openxmlformats.org/officeDocument/2006/relationships/hyperlink" Target="https://www.reunioninfra.com/insights/spotlight-on-the-energy-community-bonus-credit-adder" TargetMode="External"/><Relationship Id="rId46" Type="http://schemas.openxmlformats.org/officeDocument/2006/relationships/hyperlink" Target="https://rsmus.com/insights/tax-alerts/2023/Energy-communities-bonus-credit-new-guidance-clarifies-eligibility.html" TargetMode="External"/><Relationship Id="rId47" Type="http://schemas.openxmlformats.org/officeDocument/2006/relationships/hyperlink" Target="https://www.hodgsonruss.com/newsroom/publications/one-big-beautiful-bill-act-modifies-qualification-requirements-for-renewable-energy-tax-credits" TargetMode="External"/><Relationship Id="rId48" Type="http://schemas.openxmlformats.org/officeDocument/2006/relationships/hyperlink" Target="https://www.hoganlovells.com/en/publications/senate-finance-committee-revises-house-energy-tax-provisions-in-one-big-beautiful-bill" TargetMode="External"/><Relationship Id="rId49" Type="http://schemas.openxmlformats.org/officeDocument/2006/relationships/hyperlink" Target="https://www.chapman.com/publication-impact-of-one-big-beautiful-bill-on-clean-energy-tax-credits" TargetMode="External"/><Relationship Id="rId50" Type="http://schemas.openxmlformats.org/officeDocument/2006/relationships/hyperlink" Target="https://www.novoco.com/periodicals/articles/obbba-and-the-clean-energy-race-against-the-clock" TargetMode="External"/><Relationship Id="rId51" Type="http://schemas.openxmlformats.org/officeDocument/2006/relationships/hyperlink" Target="https://www.cebn.org/media_resources/insight-into-direct-pay/" TargetMode="External"/><Relationship Id="rId52" Type="http://schemas.openxmlformats.org/officeDocument/2006/relationships/hyperlink" Target="https://www.cebn.org/media_resources/ira-energy-communities-bonus-credit/" TargetMode="External"/><Relationship Id="rId53" Type="http://schemas.openxmlformats.org/officeDocument/2006/relationships/hyperlink" Target="https://www.wilsoncenter.org/article/nuclear-power-tribal-power" TargetMode="External"/><Relationship Id="rId54" Type="http://schemas.openxmlformats.org/officeDocument/2006/relationships/hyperlink" Target="https://natlawreview.com/article/energy-tax-credits-new-world-part-vi-energy-community-bonus-credits" TargetMode="External"/><Relationship Id="rId55" Type="http://schemas.openxmlformats.org/officeDocument/2006/relationships/hyperlink" Target="https://natlawreview.com/article/energy-tax-credits-new-world-part-vii-low-income-communities-bonus-credits" TargetMode="External"/><Relationship Id="rId56" Type="http://schemas.openxmlformats.org/officeDocument/2006/relationships/hyperlink" Target="https://www.usetinc.org/wp-content/uploads/2024/09/DTLL_Guidance_on_Technology_Neutral_Low-Income_Communities_Bonus_Amoung_Program.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2" customFormat="false" ht="17.35" hidden="false" customHeight="false" outlineLevel="0" collapsed="false">
      <c r="B2" s="1" t="s">
        <v>0</v>
      </c>
    </row>
    <row r="3" customFormat="false" ht="15" hidden="false" customHeight="false" outlineLevel="0" collapsed="false">
      <c r="B3" s="2"/>
    </row>
    <row r="4" customFormat="false" ht="15" hidden="false" customHeight="false" outlineLevel="0" collapsed="false">
      <c r="B4" s="2" t="s">
        <v>1</v>
      </c>
    </row>
    <row r="5" customFormat="false" ht="15" hidden="false" customHeight="false" outlineLevel="0" collapsed="false">
      <c r="B5" s="2"/>
    </row>
    <row r="6" customFormat="false" ht="15" hidden="false" customHeight="false" outlineLevel="0" collapsed="false">
      <c r="B6" s="3" t="s">
        <v>2</v>
      </c>
    </row>
    <row r="7" customFormat="false" ht="15" hidden="false" customHeight="false" outlineLevel="0" collapsed="false">
      <c r="B7" s="2" t="s">
        <v>3</v>
      </c>
    </row>
    <row r="8" customFormat="false" ht="15" hidden="false" customHeight="false" outlineLevel="0" collapsed="false">
      <c r="B8" s="2" t="s">
        <v>4</v>
      </c>
    </row>
    <row r="9" customFormat="false" ht="15" hidden="false" customHeight="false" outlineLevel="0" collapsed="false">
      <c r="B9" s="2"/>
    </row>
    <row r="10" customFormat="false" ht="15" hidden="false" customHeight="false" outlineLevel="0" collapsed="false">
      <c r="B10" s="3" t="s">
        <v>5</v>
      </c>
    </row>
    <row r="11" customFormat="false" ht="15" hidden="false" customHeight="false" outlineLevel="0" collapsed="false">
      <c r="B11" s="2" t="s">
        <v>6</v>
      </c>
    </row>
    <row r="12" customFormat="false" ht="15" hidden="false" customHeight="false" outlineLevel="0" collapsed="false">
      <c r="B12" s="2" t="s">
        <v>7</v>
      </c>
    </row>
    <row r="13" customFormat="false" ht="15" hidden="false" customHeight="false" outlineLevel="0" collapsed="false">
      <c r="B13" s="2" t="s">
        <v>8</v>
      </c>
    </row>
    <row r="14" customFormat="false" ht="15" hidden="false" customHeight="false" outlineLevel="0" collapsed="false">
      <c r="B14" s="2"/>
    </row>
    <row r="15" customFormat="false" ht="15" hidden="false" customHeight="false" outlineLevel="0" collapsed="false">
      <c r="B15" s="3" t="s">
        <v>9</v>
      </c>
    </row>
    <row r="16" customFormat="false" ht="15" hidden="false" customHeight="false" outlineLevel="0" collapsed="false">
      <c r="B16" s="2" t="s">
        <v>10</v>
      </c>
    </row>
    <row r="17" customFormat="false" ht="15" hidden="false" customHeight="false" outlineLevel="0" collapsed="false">
      <c r="B17" s="2" t="s">
        <v>11</v>
      </c>
    </row>
    <row r="18" customFormat="false" ht="15" hidden="false" customHeight="false" outlineLevel="0" collapsed="false">
      <c r="B18" s="2" t="s">
        <v>12</v>
      </c>
    </row>
    <row r="19" customFormat="false" ht="15" hidden="false" customHeight="false" outlineLevel="0" collapsed="false">
      <c r="B19" s="2" t="s">
        <v>13</v>
      </c>
    </row>
    <row r="20" customFormat="false" ht="15" hidden="false" customHeight="false" outlineLevel="0" collapsed="false">
      <c r="B20" s="2" t="s">
        <v>14</v>
      </c>
    </row>
    <row r="21" customFormat="false" ht="15" hidden="false" customHeight="false" outlineLevel="0" collapsed="false">
      <c r="B21" s="2"/>
    </row>
    <row r="22" customFormat="false" ht="15" hidden="false" customHeight="false" outlineLevel="0" collapsed="false">
      <c r="B22" s="3" t="s">
        <v>15</v>
      </c>
    </row>
    <row r="23" customFormat="false" ht="15" hidden="false" customHeight="false" outlineLevel="0" collapsed="false">
      <c r="B23" s="2" t="s">
        <v>16</v>
      </c>
    </row>
    <row r="24" customFormat="false" ht="15" hidden="false" customHeight="false" outlineLevel="0" collapsed="false">
      <c r="B24" s="2" t="s">
        <v>17</v>
      </c>
    </row>
    <row r="25" customFormat="false" ht="15" hidden="false" customHeight="false" outlineLevel="0" collapsed="false">
      <c r="B25" s="2" t="s">
        <v>18</v>
      </c>
    </row>
    <row r="26" customFormat="false" ht="15" hidden="false" customHeight="false" outlineLevel="0" collapsed="false">
      <c r="B26" s="2" t="s">
        <v>19</v>
      </c>
    </row>
    <row r="27" customFormat="false" ht="15" hidden="false" customHeight="false" outlineLevel="0" collapsed="false">
      <c r="B27" s="2" t="s">
        <v>20</v>
      </c>
    </row>
    <row r="28" customFormat="false" ht="15" hidden="false" customHeight="false" outlineLevel="0" collapsed="false">
      <c r="B28" s="2"/>
    </row>
    <row r="29" customFormat="false" ht="15" hidden="false" customHeight="false" outlineLevel="0" collapsed="false">
      <c r="B29" s="3" t="s">
        <v>21</v>
      </c>
    </row>
    <row r="30" customFormat="false" ht="15" hidden="false" customHeight="false" outlineLevel="0" collapsed="false">
      <c r="B30" s="2" t="s">
        <v>22</v>
      </c>
    </row>
    <row r="31" customFormat="false" ht="15" hidden="false" customHeight="false" outlineLevel="0" collapsed="false">
      <c r="B31" s="2" t="s">
        <v>23</v>
      </c>
    </row>
    <row r="32" customFormat="false" ht="15" hidden="false" customHeight="false" outlineLevel="0" collapsed="false">
      <c r="B32" s="2" t="s">
        <v>24</v>
      </c>
    </row>
    <row r="33" customFormat="false" ht="15" hidden="false" customHeight="false" outlineLevel="0" collapsed="false">
      <c r="B33" s="2" t="s">
        <v>25</v>
      </c>
    </row>
    <row r="34" customFormat="false" ht="15" hidden="false" customHeight="false" outlineLevel="0" collapsed="false">
      <c r="B34" s="2"/>
    </row>
    <row r="35" customFormat="false" ht="15" hidden="false" customHeight="false" outlineLevel="0" collapsed="false">
      <c r="B35" s="3" t="s">
        <v>26</v>
      </c>
    </row>
    <row r="36" customFormat="false" ht="15" hidden="false" customHeight="false" outlineLevel="0" collapsed="false">
      <c r="B36" s="2" t="s">
        <v>27</v>
      </c>
    </row>
    <row r="37" customFormat="false" ht="15" hidden="false" customHeight="false" outlineLevel="0" collapsed="false">
      <c r="B37" s="2" t="s">
        <v>28</v>
      </c>
    </row>
    <row r="38" customFormat="false" ht="15" hidden="false" customHeight="false" outlineLevel="0" collapsed="false">
      <c r="B38" s="2" t="s">
        <v>29</v>
      </c>
    </row>
    <row r="39" customFormat="false" ht="15" hidden="false" customHeight="false" outlineLevel="0" collapsed="false">
      <c r="B39" s="2"/>
    </row>
    <row r="40" customFormat="false" ht="15" hidden="false" customHeight="false" outlineLevel="0" collapsed="false">
      <c r="B40" s="3" t="s">
        <v>30</v>
      </c>
    </row>
    <row r="41" customFormat="false" ht="15" hidden="false" customHeight="false" outlineLevel="0" collapsed="false">
      <c r="B41" s="2" t="s">
        <v>31</v>
      </c>
    </row>
    <row r="42" customFormat="false" ht="15" hidden="false" customHeight="false" outlineLevel="0" collapsed="false">
      <c r="B42" s="2" t="s">
        <v>32</v>
      </c>
    </row>
    <row r="43" customFormat="false" ht="15" hidden="false" customHeight="false" outlineLevel="0" collapsed="false">
      <c r="B43" s="2" t="s">
        <v>33</v>
      </c>
    </row>
    <row r="44" customFormat="false" ht="15" hidden="false" customHeight="false" outlineLevel="0" collapsed="false">
      <c r="B44" s="2" t="s">
        <v>34</v>
      </c>
    </row>
    <row r="45" customFormat="false" ht="15" hidden="false" customHeight="false" outlineLevel="0" collapsed="false">
      <c r="B45" s="2" t="s">
        <v>35</v>
      </c>
    </row>
    <row r="46" customFormat="false" ht="15" hidden="false" customHeight="false" outlineLevel="0" collapsed="false">
      <c r="B46" s="2" t="s">
        <v>36</v>
      </c>
    </row>
    <row r="47" customFormat="false" ht="15" hidden="false" customHeight="false" outlineLevel="0" collapsed="false">
      <c r="B47" s="2" t="s">
        <v>37</v>
      </c>
    </row>
    <row r="48" customFormat="false" ht="15" hidden="false" customHeight="false" outlineLevel="0" collapsed="false">
      <c r="B48" s="2" t="s">
        <v>38</v>
      </c>
    </row>
    <row r="49" customFormat="false" ht="15" hidden="false" customHeight="false" outlineLevel="0" collapsed="false">
      <c r="B49" s="2"/>
    </row>
    <row r="50" customFormat="false" ht="15" hidden="false" customHeight="false" outlineLevel="0" collapsed="false">
      <c r="B50"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5" min="3" style="0" width="18"/>
    <col collapsed="false" customWidth="true" hidden="false" outlineLevel="0" max="6" min="6" style="0" width="60"/>
  </cols>
  <sheetData>
    <row r="2" customFormat="false" ht="21.75" hidden="false" customHeight="true" outlineLevel="0" collapsed="false">
      <c r="B2" s="4" t="s">
        <v>40</v>
      </c>
      <c r="C2" s="4"/>
      <c r="D2" s="4"/>
      <c r="E2" s="4"/>
      <c r="F2" s="4"/>
    </row>
    <row r="4" customFormat="false" ht="30" hidden="false" customHeight="true" outlineLevel="0" collapsed="false">
      <c r="B4" s="5" t="s">
        <v>41</v>
      </c>
      <c r="C4" s="6" t="s">
        <v>42</v>
      </c>
      <c r="D4" s="6" t="s">
        <v>43</v>
      </c>
      <c r="E4" s="6" t="s">
        <v>44</v>
      </c>
      <c r="F4" s="5" t="s">
        <v>45</v>
      </c>
    </row>
    <row r="5" customFormat="false" ht="30" hidden="false" customHeight="true" outlineLevel="0" collapsed="false">
      <c r="B5" s="7" t="s">
        <v>46</v>
      </c>
      <c r="C5" s="7"/>
      <c r="D5" s="7"/>
      <c r="E5" s="7"/>
      <c r="F5" s="7"/>
    </row>
    <row r="6" customFormat="false" ht="30" hidden="false" customHeight="true" outlineLevel="0" collapsed="false">
      <c r="B6" s="8" t="s">
        <v>47</v>
      </c>
      <c r="C6" s="9" t="s">
        <v>48</v>
      </c>
      <c r="D6" s="9" t="s">
        <v>49</v>
      </c>
      <c r="E6" s="9" t="s">
        <v>50</v>
      </c>
      <c r="F6" s="10" t="s">
        <v>51</v>
      </c>
    </row>
    <row r="7" customFormat="false" ht="30" hidden="false" customHeight="true" outlineLevel="0" collapsed="false">
      <c r="B7" s="8" t="s">
        <v>52</v>
      </c>
      <c r="C7" s="11" t="n">
        <v>3</v>
      </c>
      <c r="D7" s="11" t="n">
        <v>300</v>
      </c>
      <c r="E7" s="11" t="n">
        <v>1000</v>
      </c>
      <c r="F7" s="10" t="s">
        <v>53</v>
      </c>
    </row>
    <row r="8" customFormat="false" ht="30" hidden="false" customHeight="true" outlineLevel="0" collapsed="false">
      <c r="B8" s="8" t="s">
        <v>54</v>
      </c>
      <c r="C8" s="12" t="n">
        <v>20000</v>
      </c>
      <c r="D8" s="12" t="n">
        <v>7500</v>
      </c>
      <c r="E8" s="12" t="n">
        <v>6500</v>
      </c>
      <c r="F8" s="10" t="s">
        <v>55</v>
      </c>
    </row>
    <row r="9" customFormat="false" ht="30" hidden="false" customHeight="true" outlineLevel="0" collapsed="false">
      <c r="B9" s="8" t="s">
        <v>56</v>
      </c>
      <c r="C9" s="13" t="n">
        <f aca="false">C7*C8*1000</f>
        <v>60000000</v>
      </c>
      <c r="D9" s="13" t="n">
        <f aca="false">D7*D8*1000</f>
        <v>2250000000</v>
      </c>
      <c r="E9" s="13" t="n">
        <f aca="false">E7*E8*1000</f>
        <v>6500000000</v>
      </c>
      <c r="F9" s="10" t="s">
        <v>57</v>
      </c>
    </row>
    <row r="10" customFormat="false" ht="30" hidden="false" customHeight="true" outlineLevel="0" collapsed="false"/>
    <row r="11" customFormat="false" ht="30" hidden="false" customHeight="true" outlineLevel="0" collapsed="false">
      <c r="B11" s="7" t="s">
        <v>58</v>
      </c>
      <c r="C11" s="7"/>
      <c r="D11" s="7"/>
      <c r="E11" s="7"/>
      <c r="F11" s="7"/>
    </row>
    <row r="12" customFormat="false" ht="30" hidden="false" customHeight="true" outlineLevel="0" collapsed="false">
      <c r="B12" s="8" t="s">
        <v>59</v>
      </c>
      <c r="C12" s="9" t="s">
        <v>60</v>
      </c>
      <c r="D12" s="9" t="s">
        <v>60</v>
      </c>
      <c r="E12" s="9" t="s">
        <v>60</v>
      </c>
      <c r="F12" s="10" t="s">
        <v>61</v>
      </c>
    </row>
    <row r="13" customFormat="false" ht="30" hidden="false" customHeight="true" outlineLevel="0" collapsed="false">
      <c r="B13" s="8" t="s">
        <v>62</v>
      </c>
      <c r="C13" s="9" t="s">
        <v>60</v>
      </c>
      <c r="D13" s="9" t="s">
        <v>63</v>
      </c>
      <c r="E13" s="9" t="s">
        <v>63</v>
      </c>
      <c r="F13" s="10" t="s">
        <v>64</v>
      </c>
    </row>
    <row r="14" customFormat="false" ht="30" hidden="false" customHeight="true" outlineLevel="0" collapsed="false">
      <c r="B14" s="8" t="s">
        <v>65</v>
      </c>
      <c r="C14" s="9" t="s">
        <v>63</v>
      </c>
      <c r="D14" s="9" t="s">
        <v>66</v>
      </c>
      <c r="E14" s="9" t="s">
        <v>67</v>
      </c>
      <c r="F14" s="10" t="s">
        <v>68</v>
      </c>
    </row>
    <row r="15" customFormat="false" ht="30" hidden="false" customHeight="true" outlineLevel="0" collapsed="false">
      <c r="B15" s="8" t="s">
        <v>69</v>
      </c>
      <c r="C15" s="9" t="s">
        <v>60</v>
      </c>
      <c r="D15" s="9" t="s">
        <v>60</v>
      </c>
      <c r="E15" s="9" t="s">
        <v>60</v>
      </c>
      <c r="F15" s="10" t="s">
        <v>70</v>
      </c>
    </row>
    <row r="16" customFormat="false" ht="30" hidden="false" customHeight="true" outlineLevel="0" collapsed="false">
      <c r="B16" s="8" t="s">
        <v>71</v>
      </c>
      <c r="C16" s="9" t="s">
        <v>60</v>
      </c>
      <c r="D16" s="9" t="s">
        <v>60</v>
      </c>
      <c r="E16" s="9" t="s">
        <v>60</v>
      </c>
      <c r="F16" s="10" t="s">
        <v>72</v>
      </c>
    </row>
    <row r="17" customFormat="false" ht="30" hidden="false" customHeight="true" outlineLevel="0" collapsed="false">
      <c r="B17" s="8" t="s">
        <v>73</v>
      </c>
      <c r="C17" s="9" t="s">
        <v>60</v>
      </c>
      <c r="D17" s="9" t="s">
        <v>60</v>
      </c>
      <c r="E17" s="9" t="s">
        <v>60</v>
      </c>
      <c r="F17" s="10" t="s">
        <v>74</v>
      </c>
    </row>
    <row r="18" customFormat="false" ht="30" hidden="false" customHeight="true" outlineLevel="0" collapsed="false">
      <c r="B18" s="8" t="s">
        <v>75</v>
      </c>
      <c r="C18" s="14" t="n">
        <v>2027</v>
      </c>
      <c r="D18" s="14" t="n">
        <v>2030</v>
      </c>
      <c r="E18" s="14" t="n">
        <v>2032</v>
      </c>
      <c r="F18" s="10" t="s">
        <v>76</v>
      </c>
    </row>
    <row r="19" customFormat="false" ht="30" hidden="false" customHeight="true" outlineLevel="0" collapsed="false"/>
    <row r="20" customFormat="false" ht="30" hidden="false" customHeight="true" outlineLevel="0" collapsed="false">
      <c r="B20" s="7" t="s">
        <v>77</v>
      </c>
      <c r="C20" s="7"/>
      <c r="D20" s="7"/>
      <c r="E20" s="7"/>
      <c r="F20" s="7"/>
    </row>
    <row r="21" customFormat="false" ht="30" hidden="false" customHeight="true" outlineLevel="0" collapsed="false">
      <c r="B21" s="8" t="s">
        <v>78</v>
      </c>
      <c r="C21" s="15" t="n">
        <v>0.3</v>
      </c>
      <c r="D21" s="15" t="n">
        <v>0.3</v>
      </c>
      <c r="E21" s="15" t="n">
        <v>0.3</v>
      </c>
      <c r="F21" s="10" t="s">
        <v>79</v>
      </c>
    </row>
    <row r="22" customFormat="false" ht="30" hidden="false" customHeight="true" outlineLevel="0" collapsed="false">
      <c r="B22" s="8" t="s">
        <v>80</v>
      </c>
      <c r="C22" s="15" t="n">
        <v>0.1</v>
      </c>
      <c r="D22" s="15" t="n">
        <v>0.1</v>
      </c>
      <c r="E22" s="15" t="n">
        <v>0.1</v>
      </c>
      <c r="F22" s="10" t="s">
        <v>81</v>
      </c>
    </row>
    <row r="23" customFormat="false" ht="30" hidden="false" customHeight="true" outlineLevel="0" collapsed="false">
      <c r="B23" s="8" t="s">
        <v>82</v>
      </c>
      <c r="C23" s="15" t="n">
        <v>0</v>
      </c>
      <c r="D23" s="15" t="n">
        <v>0.1</v>
      </c>
      <c r="E23" s="15" t="n">
        <v>0.1</v>
      </c>
      <c r="F23" s="10" t="s">
        <v>83</v>
      </c>
    </row>
    <row r="24" customFormat="false" ht="30" hidden="false" customHeight="true" outlineLevel="0" collapsed="false">
      <c r="B24" s="8" t="s">
        <v>84</v>
      </c>
      <c r="C24" s="15" t="n">
        <v>0.1</v>
      </c>
      <c r="D24" s="15" t="n">
        <v>0</v>
      </c>
      <c r="E24" s="15" t="n">
        <v>0</v>
      </c>
      <c r="F24" s="10" t="s">
        <v>85</v>
      </c>
    </row>
    <row r="25" customFormat="false" ht="30" hidden="false" customHeight="true" outlineLevel="0" collapsed="false">
      <c r="B25" s="8" t="s">
        <v>86</v>
      </c>
      <c r="C25" s="15" t="n">
        <v>0</v>
      </c>
      <c r="D25" s="15" t="n">
        <v>0</v>
      </c>
      <c r="E25" s="15" t="n">
        <v>0</v>
      </c>
      <c r="F25" s="10" t="s">
        <v>87</v>
      </c>
    </row>
    <row r="26" customFormat="false" ht="30" hidden="false" customHeight="true" outlineLevel="0" collapsed="false">
      <c r="B26" s="8" t="s">
        <v>88</v>
      </c>
      <c r="C26" s="16" t="n">
        <f aca="false">MIN(0.7,SUM(C21:C25))</f>
        <v>0.5</v>
      </c>
      <c r="D26" s="16" t="n">
        <f aca="false">MIN(0.7,SUM(D21:D25))</f>
        <v>0.5</v>
      </c>
      <c r="E26" s="16" t="n">
        <f aca="false">MIN(0.7,SUM(E21:E25))</f>
        <v>0.5</v>
      </c>
      <c r="F26" s="10" t="s">
        <v>89</v>
      </c>
    </row>
    <row r="27" customFormat="false" ht="30" hidden="false" customHeight="true" outlineLevel="0" collapsed="false"/>
    <row r="28" customFormat="false" ht="30" hidden="false" customHeight="true" outlineLevel="0" collapsed="false">
      <c r="B28" s="7" t="s">
        <v>90</v>
      </c>
      <c r="C28" s="7"/>
      <c r="D28" s="7"/>
      <c r="E28" s="7"/>
      <c r="F28" s="7"/>
    </row>
    <row r="29" customFormat="false" ht="30" hidden="false" customHeight="true" outlineLevel="0" collapsed="false">
      <c r="B29" s="8" t="s">
        <v>91</v>
      </c>
      <c r="C29" s="15" t="n">
        <v>0.5</v>
      </c>
      <c r="D29" s="15" t="n">
        <v>0.8</v>
      </c>
      <c r="E29" s="15" t="n">
        <v>0.8</v>
      </c>
      <c r="F29" s="10" t="s">
        <v>92</v>
      </c>
    </row>
    <row r="30" customFormat="false" ht="30" hidden="false" customHeight="true" outlineLevel="0" collapsed="false">
      <c r="B30" s="8" t="s">
        <v>93</v>
      </c>
      <c r="C30" s="17" t="n">
        <v>200</v>
      </c>
      <c r="D30" s="17" t="n">
        <v>200</v>
      </c>
      <c r="E30" s="17" t="n">
        <v>200</v>
      </c>
      <c r="F30" s="10" t="s">
        <v>94</v>
      </c>
    </row>
    <row r="31" customFormat="false" ht="30" hidden="false" customHeight="true" outlineLevel="0" collapsed="false">
      <c r="B31" s="8" t="s">
        <v>95</v>
      </c>
      <c r="C31" s="12" t="n">
        <v>1500000</v>
      </c>
      <c r="D31" s="12" t="n">
        <v>2500000</v>
      </c>
      <c r="E31" s="12" t="n">
        <v>2500000</v>
      </c>
      <c r="F31" s="10" t="s">
        <v>96</v>
      </c>
    </row>
  </sheetData>
  <mergeCells count="5">
    <mergeCell ref="B2:F2"/>
    <mergeCell ref="B5:F5"/>
    <mergeCell ref="B11:F11"/>
    <mergeCell ref="B20:F20"/>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5" min="3" style="0" width="20"/>
    <col collapsed="false" customWidth="true" hidden="false" outlineLevel="0" max="6" min="6" style="0" width="60"/>
  </cols>
  <sheetData>
    <row r="2" customFormat="false" ht="21.75" hidden="false" customHeight="true" outlineLevel="0" collapsed="false">
      <c r="B2" s="4" t="s">
        <v>97</v>
      </c>
      <c r="C2" s="4"/>
      <c r="D2" s="4"/>
      <c r="E2" s="4"/>
      <c r="F2" s="4"/>
    </row>
    <row r="4" customFormat="false" ht="30" hidden="false" customHeight="true" outlineLevel="0" collapsed="false">
      <c r="B4" s="5" t="s">
        <v>98</v>
      </c>
      <c r="C4" s="6" t="s">
        <v>42</v>
      </c>
      <c r="D4" s="6" t="s">
        <v>43</v>
      </c>
      <c r="E4" s="6" t="s">
        <v>44</v>
      </c>
      <c r="F4" s="5" t="s">
        <v>99</v>
      </c>
    </row>
    <row r="5" customFormat="false" ht="30" hidden="false" customHeight="true" outlineLevel="0" collapsed="false">
      <c r="B5" s="7" t="s">
        <v>100</v>
      </c>
      <c r="C5" s="7"/>
      <c r="D5" s="7"/>
      <c r="E5" s="7"/>
      <c r="F5" s="7"/>
    </row>
    <row r="6" customFormat="false" ht="30" hidden="false" customHeight="true" outlineLevel="0" collapsed="false">
      <c r="B6" s="8" t="s">
        <v>101</v>
      </c>
      <c r="C6" s="18" t="n">
        <f aca="false">Assumptions!C7</f>
        <v>3</v>
      </c>
      <c r="D6" s="18" t="n">
        <f aca="false">Assumptions!D7</f>
        <v>300</v>
      </c>
      <c r="E6" s="18" t="n">
        <f aca="false">Assumptions!E7</f>
        <v>1000</v>
      </c>
      <c r="F6" s="10" t="s">
        <v>102</v>
      </c>
    </row>
    <row r="7" customFormat="false" ht="30" hidden="false" customHeight="true" outlineLevel="0" collapsed="false">
      <c r="B7" s="8" t="s">
        <v>54</v>
      </c>
      <c r="C7" s="19" t="n">
        <f aca="false">Assumptions!C8</f>
        <v>20000</v>
      </c>
      <c r="D7" s="19" t="n">
        <f aca="false">Assumptions!D8</f>
        <v>7500</v>
      </c>
      <c r="E7" s="19" t="n">
        <f aca="false">Assumptions!E8</f>
        <v>6500</v>
      </c>
      <c r="F7" s="10" t="s">
        <v>103</v>
      </c>
    </row>
    <row r="8" customFormat="false" ht="30" hidden="false" customHeight="true" outlineLevel="0" collapsed="false">
      <c r="B8" s="20" t="s">
        <v>56</v>
      </c>
      <c r="C8" s="21" t="n">
        <f aca="false">C6*C7*1000</f>
        <v>60000000</v>
      </c>
      <c r="D8" s="21" t="n">
        <f aca="false">D6*D7*1000</f>
        <v>2250000000</v>
      </c>
      <c r="E8" s="21" t="n">
        <f aca="false">E6*E7*1000</f>
        <v>6500000000</v>
      </c>
      <c r="F8" s="10" t="s">
        <v>104</v>
      </c>
    </row>
    <row r="9" customFormat="false" ht="30" hidden="false" customHeight="true" outlineLevel="0" collapsed="false"/>
    <row r="10" customFormat="false" ht="30" hidden="false" customHeight="true" outlineLevel="0" collapsed="false">
      <c r="B10" s="7" t="s">
        <v>105</v>
      </c>
      <c r="C10" s="7"/>
      <c r="D10" s="7"/>
      <c r="E10" s="7"/>
      <c r="F10" s="7"/>
    </row>
    <row r="11" customFormat="false" ht="30" hidden="false" customHeight="true" outlineLevel="0" collapsed="false">
      <c r="B11" s="8" t="s">
        <v>106</v>
      </c>
      <c r="C11" s="22" t="n">
        <f aca="false">Assumptions!C21</f>
        <v>0.3</v>
      </c>
      <c r="D11" s="22" t="n">
        <f aca="false">Assumptions!D21</f>
        <v>0.3</v>
      </c>
      <c r="E11" s="22" t="n">
        <f aca="false">Assumptions!E21</f>
        <v>0.3</v>
      </c>
      <c r="F11" s="10" t="s">
        <v>107</v>
      </c>
    </row>
    <row r="12" customFormat="false" ht="30" hidden="false" customHeight="true" outlineLevel="0" collapsed="false">
      <c r="B12" s="8" t="s">
        <v>108</v>
      </c>
      <c r="C12" s="22" t="n">
        <f aca="false">Assumptions!C22</f>
        <v>0.1</v>
      </c>
      <c r="D12" s="22" t="n">
        <f aca="false">Assumptions!D22</f>
        <v>0.1</v>
      </c>
      <c r="E12" s="22" t="n">
        <f aca="false">Assumptions!E22</f>
        <v>0.1</v>
      </c>
      <c r="F12" s="10" t="s">
        <v>109</v>
      </c>
    </row>
    <row r="13" customFormat="false" ht="30" hidden="false" customHeight="true" outlineLevel="0" collapsed="false">
      <c r="B13" s="8" t="s">
        <v>110</v>
      </c>
      <c r="C13" s="22" t="n">
        <f aca="false">Assumptions!C23</f>
        <v>0</v>
      </c>
      <c r="D13" s="22" t="n">
        <f aca="false">Assumptions!D23</f>
        <v>0.1</v>
      </c>
      <c r="E13" s="22" t="n">
        <f aca="false">Assumptions!E23</f>
        <v>0.1</v>
      </c>
      <c r="F13" s="10" t="s">
        <v>111</v>
      </c>
    </row>
    <row r="14" customFormat="false" ht="30" hidden="false" customHeight="true" outlineLevel="0" collapsed="false">
      <c r="B14" s="8" t="s">
        <v>112</v>
      </c>
      <c r="C14" s="22" t="n">
        <f aca="false">Assumptions!C24</f>
        <v>0.1</v>
      </c>
      <c r="D14" s="22" t="n">
        <f aca="false">Assumptions!D24</f>
        <v>0</v>
      </c>
      <c r="E14" s="22" t="n">
        <f aca="false">Assumptions!E24</f>
        <v>0</v>
      </c>
      <c r="F14" s="10" t="s">
        <v>113</v>
      </c>
    </row>
    <row r="15" customFormat="false" ht="30" hidden="false" customHeight="true" outlineLevel="0" collapsed="false">
      <c r="B15" s="8" t="s">
        <v>114</v>
      </c>
      <c r="C15" s="22" t="n">
        <f aca="false">Assumptions!C25</f>
        <v>0</v>
      </c>
      <c r="D15" s="22" t="n">
        <f aca="false">Assumptions!D25</f>
        <v>0</v>
      </c>
      <c r="E15" s="22" t="n">
        <f aca="false">Assumptions!E25</f>
        <v>0</v>
      </c>
      <c r="F15" s="10" t="s">
        <v>115</v>
      </c>
    </row>
    <row r="16" customFormat="false" ht="30" hidden="false" customHeight="true" outlineLevel="0" collapsed="false">
      <c r="B16" s="23" t="s">
        <v>88</v>
      </c>
      <c r="C16" s="24" t="n">
        <f aca="false">MIN(0.7, SUM(C11:C15))</f>
        <v>0.5</v>
      </c>
      <c r="D16" s="24" t="n">
        <f aca="false">MIN(0.7, SUM(D11:D15))</f>
        <v>0.5</v>
      </c>
      <c r="E16" s="24" t="n">
        <f aca="false">MIN(0.7, SUM(E11:E15))</f>
        <v>0.5</v>
      </c>
      <c r="F16" s="25" t="s">
        <v>116</v>
      </c>
    </row>
    <row r="17" customFormat="false" ht="30" hidden="false" customHeight="true" outlineLevel="0" collapsed="false">
      <c r="B17" s="26" t="s">
        <v>117</v>
      </c>
      <c r="C17" s="27" t="n">
        <f aca="false">C8*C16</f>
        <v>30000000</v>
      </c>
      <c r="D17" s="27" t="n">
        <f aca="false">D8*D16</f>
        <v>1125000000</v>
      </c>
      <c r="E17" s="27" t="n">
        <f aca="false">E8*E16</f>
        <v>3250000000</v>
      </c>
      <c r="F17" s="28" t="s">
        <v>118</v>
      </c>
    </row>
    <row r="18" customFormat="false" ht="30" hidden="false" customHeight="true" outlineLevel="0" collapsed="false"/>
    <row r="19" customFormat="false" ht="30" hidden="false" customHeight="true" outlineLevel="0" collapsed="false">
      <c r="B19" s="7" t="s">
        <v>119</v>
      </c>
      <c r="C19" s="7"/>
      <c r="D19" s="7"/>
      <c r="E19" s="7"/>
      <c r="F19" s="7"/>
    </row>
    <row r="20" customFormat="false" ht="30" hidden="false" customHeight="true" outlineLevel="0" collapsed="false">
      <c r="B20" s="8" t="s">
        <v>120</v>
      </c>
      <c r="C20" s="22" t="n">
        <f aca="false">Assumptions!C29</f>
        <v>0.5</v>
      </c>
      <c r="D20" s="22" t="n">
        <f aca="false">Assumptions!D29</f>
        <v>0.8</v>
      </c>
      <c r="E20" s="22" t="n">
        <f aca="false">Assumptions!E29</f>
        <v>0.8</v>
      </c>
      <c r="F20" s="10" t="s">
        <v>121</v>
      </c>
    </row>
    <row r="21" customFormat="false" ht="30" hidden="false" customHeight="true" outlineLevel="0" collapsed="false">
      <c r="B21" s="20" t="s">
        <v>122</v>
      </c>
      <c r="C21" s="21" t="n">
        <f aca="false">C8*C20</f>
        <v>30000000</v>
      </c>
      <c r="D21" s="21" t="n">
        <f aca="false">D8*D20</f>
        <v>1800000000</v>
      </c>
      <c r="E21" s="21" t="n">
        <f aca="false">E8*E20</f>
        <v>5200000000</v>
      </c>
      <c r="F21" s="10" t="s">
        <v>123</v>
      </c>
    </row>
    <row r="22" customFormat="false" ht="30" hidden="false" customHeight="true" outlineLevel="0" collapsed="false">
      <c r="B22" s="8" t="s">
        <v>95</v>
      </c>
      <c r="C22" s="19" t="n">
        <f aca="false">Assumptions!C31</f>
        <v>1500000</v>
      </c>
      <c r="D22" s="19" t="n">
        <f aca="false">Assumptions!D31</f>
        <v>2500000</v>
      </c>
      <c r="E22" s="19" t="n">
        <f aca="false">Assumptions!E31</f>
        <v>2500000</v>
      </c>
      <c r="F22" s="10" t="s">
        <v>124</v>
      </c>
    </row>
    <row r="23" customFormat="false" ht="30" hidden="false" customHeight="true" outlineLevel="0" collapsed="false">
      <c r="B23" s="8" t="s">
        <v>125</v>
      </c>
      <c r="C23" s="29" t="n">
        <f aca="false">C21*Assumptions!C30/10000*15</f>
        <v>9000000</v>
      </c>
      <c r="D23" s="29" t="n">
        <f aca="false">D21*Assumptions!D30/10000*15</f>
        <v>540000000</v>
      </c>
      <c r="E23" s="29" t="n">
        <f aca="false">E21*Assumptions!E30/10000*15</f>
        <v>1560000000</v>
      </c>
      <c r="F23" s="10" t="s">
        <v>126</v>
      </c>
    </row>
    <row r="24" customFormat="false" ht="30" hidden="false" customHeight="true" outlineLevel="0" collapsed="false"/>
    <row r="25" customFormat="false" ht="30" hidden="false" customHeight="true" outlineLevel="0" collapsed="false">
      <c r="B25" s="7" t="s">
        <v>127</v>
      </c>
      <c r="C25" s="7"/>
      <c r="D25" s="7"/>
      <c r="E25" s="7"/>
      <c r="F25" s="7"/>
    </row>
    <row r="26" customFormat="false" ht="30" hidden="false" customHeight="true" outlineLevel="0" collapsed="false">
      <c r="B26" s="20" t="s">
        <v>128</v>
      </c>
      <c r="C26" s="21" t="n">
        <f aca="false">C17+C22+C23</f>
        <v>40500000</v>
      </c>
      <c r="D26" s="21" t="n">
        <f aca="false">D17+D22+D23</f>
        <v>1667500000</v>
      </c>
      <c r="E26" s="21" t="n">
        <f aca="false">E17+E22+E23</f>
        <v>4812500000</v>
      </c>
      <c r="F26" s="10" t="s">
        <v>129</v>
      </c>
    </row>
    <row r="27" customFormat="false" ht="30" hidden="false" customHeight="true" outlineLevel="0" collapsed="false">
      <c r="B27" s="20" t="s">
        <v>130</v>
      </c>
      <c r="C27" s="21" t="n">
        <f aca="false">C8-C26</f>
        <v>19500000</v>
      </c>
      <c r="D27" s="21" t="n">
        <f aca="false">D8-D26</f>
        <v>582500000</v>
      </c>
      <c r="E27" s="21" t="n">
        <f aca="false">E8-E26</f>
        <v>1687500000</v>
      </c>
      <c r="F27" s="10" t="s">
        <v>131</v>
      </c>
    </row>
    <row r="28" customFormat="false" ht="30" hidden="false" customHeight="true" outlineLevel="0" collapsed="false">
      <c r="B28" s="26" t="s">
        <v>132</v>
      </c>
      <c r="C28" s="30" t="n">
        <f aca="false">C26/C8</f>
        <v>0.675</v>
      </c>
      <c r="D28" s="30" t="n">
        <f aca="false">D26/D8</f>
        <v>0.741111111111111</v>
      </c>
      <c r="E28" s="30" t="n">
        <f aca="false">E26/E8</f>
        <v>0.740384615384615</v>
      </c>
      <c r="F28" s="28" t="s">
        <v>133</v>
      </c>
    </row>
    <row r="29" customFormat="false" ht="30" hidden="false" customHeight="true" outlineLevel="0" collapsed="false"/>
    <row r="30" customFormat="false" ht="30" hidden="false" customHeight="true" outlineLevel="0" collapsed="false">
      <c r="B30" s="7" t="s">
        <v>134</v>
      </c>
      <c r="C30" s="7"/>
      <c r="D30" s="7"/>
      <c r="E30" s="7"/>
      <c r="F30" s="7"/>
    </row>
    <row r="31" customFormat="false" ht="30" hidden="false" customHeight="true" outlineLevel="0" collapsed="false">
      <c r="B31" s="8" t="s">
        <v>135</v>
      </c>
      <c r="C31" s="31" t="s">
        <v>136</v>
      </c>
      <c r="D31" s="31" t="s">
        <v>136</v>
      </c>
      <c r="E31" s="31" t="s">
        <v>136</v>
      </c>
      <c r="F31" s="10" t="s">
        <v>137</v>
      </c>
    </row>
    <row r="32" customFormat="false" ht="30" hidden="false" customHeight="true" outlineLevel="0" collapsed="false">
      <c r="B32" s="8" t="s">
        <v>138</v>
      </c>
      <c r="C32" s="31" t="s">
        <v>139</v>
      </c>
      <c r="D32" s="31" t="s">
        <v>140</v>
      </c>
      <c r="E32" s="31" t="s">
        <v>140</v>
      </c>
      <c r="F32" s="10" t="s">
        <v>141</v>
      </c>
    </row>
    <row r="33" customFormat="false" ht="30" hidden="false" customHeight="true" outlineLevel="0" collapsed="false">
      <c r="B33" s="8" t="s">
        <v>142</v>
      </c>
      <c r="C33" s="31" t="s">
        <v>143</v>
      </c>
      <c r="D33" s="31" t="s">
        <v>143</v>
      </c>
      <c r="E33" s="31" t="s">
        <v>143</v>
      </c>
      <c r="F33" s="10" t="s">
        <v>144</v>
      </c>
    </row>
    <row r="34" customFormat="false" ht="30" hidden="false" customHeight="true" outlineLevel="0" collapsed="false">
      <c r="B34" s="8" t="s">
        <v>145</v>
      </c>
      <c r="C34" s="31" t="s">
        <v>146</v>
      </c>
      <c r="D34" s="31" t="s">
        <v>143</v>
      </c>
      <c r="E34" s="31" t="s">
        <v>143</v>
      </c>
      <c r="F34" s="10" t="s">
        <v>147</v>
      </c>
    </row>
    <row r="35" customFormat="false" ht="30" hidden="false" customHeight="true" outlineLevel="0" collapsed="false">
      <c r="B35" s="8" t="s">
        <v>148</v>
      </c>
      <c r="C35" s="31" t="s">
        <v>149</v>
      </c>
      <c r="D35" s="31" t="s">
        <v>150</v>
      </c>
      <c r="E35" s="31" t="s">
        <v>150</v>
      </c>
      <c r="F35" s="10" t="s">
        <v>151</v>
      </c>
    </row>
    <row r="36" customFormat="false" ht="30" hidden="false" customHeight="true" outlineLevel="0" collapsed="false">
      <c r="B36" s="8" t="s">
        <v>152</v>
      </c>
      <c r="C36" s="31" t="s">
        <v>150</v>
      </c>
      <c r="D36" s="31" t="s">
        <v>150</v>
      </c>
      <c r="E36" s="31" t="s">
        <v>149</v>
      </c>
      <c r="F36" s="10" t="s">
        <v>153</v>
      </c>
    </row>
    <row r="37" customFormat="false" ht="30" hidden="false" customHeight="true" outlineLevel="0" collapsed="false">
      <c r="B37" s="8" t="s">
        <v>154</v>
      </c>
      <c r="C37" s="31" t="s">
        <v>155</v>
      </c>
      <c r="D37" s="31" t="s">
        <v>155</v>
      </c>
      <c r="E37" s="31" t="s">
        <v>155</v>
      </c>
      <c r="F37" s="10" t="s">
        <v>156</v>
      </c>
    </row>
  </sheetData>
  <mergeCells count="6">
    <mergeCell ref="B2:F2"/>
    <mergeCell ref="B5:F5"/>
    <mergeCell ref="B10:F10"/>
    <mergeCell ref="B19:F19"/>
    <mergeCell ref="B25:F25"/>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5"/>
    <col collapsed="false" customWidth="true" hidden="false" outlineLevel="0" max="3" min="3" style="0" width="90"/>
  </cols>
  <sheetData>
    <row r="2" customFormat="false" ht="21.75" hidden="false" customHeight="true" outlineLevel="0" collapsed="false">
      <c r="B2" s="4" t="s">
        <v>157</v>
      </c>
      <c r="C2" s="4"/>
    </row>
    <row r="4" customFormat="false" ht="15" hidden="false" customHeight="false" outlineLevel="0" collapsed="false">
      <c r="B4" s="32" t="s">
        <v>158</v>
      </c>
      <c r="C4" s="32" t="s">
        <v>159</v>
      </c>
    </row>
    <row r="5" customFormat="false" ht="90" hidden="false" customHeight="true" outlineLevel="0" collapsed="false">
      <c r="B5" s="33" t="s">
        <v>160</v>
      </c>
      <c r="C5" s="34" t="s">
        <v>161</v>
      </c>
    </row>
    <row r="6" customFormat="false" ht="90" hidden="false" customHeight="true" outlineLevel="0" collapsed="false">
      <c r="B6" s="33" t="s">
        <v>162</v>
      </c>
      <c r="C6" s="34" t="s">
        <v>163</v>
      </c>
    </row>
    <row r="7" customFormat="false" ht="90" hidden="false" customHeight="true" outlineLevel="0" collapsed="false">
      <c r="B7" s="33" t="s">
        <v>164</v>
      </c>
      <c r="C7" s="34" t="s">
        <v>165</v>
      </c>
    </row>
    <row r="8" customFormat="false" ht="90" hidden="false" customHeight="true" outlineLevel="0" collapsed="false">
      <c r="B8" s="33" t="s">
        <v>166</v>
      </c>
      <c r="C8" s="34" t="s">
        <v>167</v>
      </c>
    </row>
    <row r="9" customFormat="false" ht="90" hidden="false" customHeight="true" outlineLevel="0" collapsed="false">
      <c r="B9" s="33" t="s">
        <v>168</v>
      </c>
      <c r="C9" s="34" t="s">
        <v>169</v>
      </c>
    </row>
    <row r="10" customFormat="false" ht="90" hidden="false" customHeight="true" outlineLevel="0" collapsed="false">
      <c r="B10" s="33" t="s">
        <v>170</v>
      </c>
      <c r="C10" s="34" t="s">
        <v>171</v>
      </c>
    </row>
    <row r="11" customFormat="false" ht="90" hidden="false" customHeight="true" outlineLevel="0" collapsed="false">
      <c r="B11" s="33" t="s">
        <v>172</v>
      </c>
      <c r="C11" s="34" t="s">
        <v>173</v>
      </c>
    </row>
    <row r="12" customFormat="false" ht="90" hidden="false" customHeight="true" outlineLevel="0" collapsed="false">
      <c r="B12" s="33" t="s">
        <v>174</v>
      </c>
      <c r="C12" s="34" t="s">
        <v>175</v>
      </c>
    </row>
    <row r="13" customFormat="false" ht="90" hidden="false" customHeight="true" outlineLevel="0" collapsed="false">
      <c r="B13" s="33" t="s">
        <v>176</v>
      </c>
      <c r="C13" s="34" t="s">
        <v>177</v>
      </c>
    </row>
    <row r="14" customFormat="false" ht="90" hidden="false" customHeight="true" outlineLevel="0" collapsed="false">
      <c r="B14" s="33" t="s">
        <v>178</v>
      </c>
      <c r="C14" s="34" t="s">
        <v>179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0"/>
    <col collapsed="false" customWidth="true" hidden="false" outlineLevel="0" max="3" min="3" style="0" width="90"/>
  </cols>
  <sheetData>
    <row r="2" customFormat="false" ht="17.35" hidden="false" customHeight="false" outlineLevel="0" collapsed="false">
      <c r="B2" s="4" t="s">
        <v>180</v>
      </c>
      <c r="C2" s="4"/>
    </row>
    <row r="4" customFormat="false" ht="15" hidden="false" customHeight="false" outlineLevel="0" collapsed="false">
      <c r="B4" s="32" t="s">
        <v>181</v>
      </c>
      <c r="C4" s="32" t="s">
        <v>182</v>
      </c>
    </row>
    <row r="5" customFormat="false" ht="23.85" hidden="false" customHeight="false" outlineLevel="0" collapsed="false">
      <c r="B5" s="8" t="s">
        <v>183</v>
      </c>
      <c r="C5" s="35" t="s">
        <v>184</v>
      </c>
    </row>
    <row r="6" customFormat="false" ht="15" hidden="false" customHeight="false" outlineLevel="0" collapsed="false">
      <c r="B6" s="8" t="s">
        <v>185</v>
      </c>
      <c r="C6" s="35" t="s">
        <v>186</v>
      </c>
    </row>
    <row r="7" customFormat="false" ht="15" hidden="false" customHeight="false" outlineLevel="0" collapsed="false">
      <c r="B7" s="8" t="s">
        <v>187</v>
      </c>
      <c r="C7" s="35" t="s">
        <v>188</v>
      </c>
    </row>
    <row r="8" customFormat="false" ht="15" hidden="false" customHeight="false" outlineLevel="0" collapsed="false">
      <c r="B8" s="8" t="s">
        <v>189</v>
      </c>
      <c r="C8" s="35" t="s">
        <v>190</v>
      </c>
    </row>
    <row r="9" customFormat="false" ht="15" hidden="false" customHeight="false" outlineLevel="0" collapsed="false">
      <c r="B9" s="8" t="s">
        <v>191</v>
      </c>
      <c r="C9" s="35" t="s">
        <v>192</v>
      </c>
    </row>
    <row r="10" customFormat="false" ht="15" hidden="false" customHeight="false" outlineLevel="0" collapsed="false">
      <c r="B10" s="8" t="s">
        <v>193</v>
      </c>
      <c r="C10" s="35" t="s">
        <v>194</v>
      </c>
    </row>
    <row r="11" customFormat="false" ht="15" hidden="false" customHeight="false" outlineLevel="0" collapsed="false">
      <c r="B11" s="8" t="s">
        <v>195</v>
      </c>
      <c r="C11" s="35" t="s">
        <v>196</v>
      </c>
    </row>
    <row r="12" customFormat="false" ht="23.85" hidden="false" customHeight="false" outlineLevel="0" collapsed="false">
      <c r="B12" s="8" t="s">
        <v>197</v>
      </c>
      <c r="C12" s="35" t="s">
        <v>198</v>
      </c>
    </row>
    <row r="13" customFormat="false" ht="15" hidden="false" customHeight="false" outlineLevel="0" collapsed="false">
      <c r="B13" s="8" t="s">
        <v>199</v>
      </c>
      <c r="C13" s="35" t="s">
        <v>200</v>
      </c>
    </row>
    <row r="14" customFormat="false" ht="15" hidden="false" customHeight="false" outlineLevel="0" collapsed="false">
      <c r="B14" s="8" t="s">
        <v>201</v>
      </c>
      <c r="C14" s="35" t="s">
        <v>202</v>
      </c>
    </row>
    <row r="15" customFormat="false" ht="15" hidden="false" customHeight="false" outlineLevel="0" collapsed="false">
      <c r="B15" s="8" t="s">
        <v>203</v>
      </c>
      <c r="C15" s="35" t="s">
        <v>204</v>
      </c>
    </row>
    <row r="16" customFormat="false" ht="15" hidden="false" customHeight="false" outlineLevel="0" collapsed="false">
      <c r="B16" s="8" t="s">
        <v>205</v>
      </c>
      <c r="C16" s="35" t="s">
        <v>206</v>
      </c>
    </row>
    <row r="17" customFormat="false" ht="23.85" hidden="false" customHeight="false" outlineLevel="0" collapsed="false">
      <c r="B17" s="8" t="s">
        <v>207</v>
      </c>
      <c r="C17" s="35" t="s">
        <v>208</v>
      </c>
    </row>
    <row r="18" customFormat="false" ht="15" hidden="false" customHeight="false" outlineLevel="0" collapsed="false">
      <c r="B18" s="8" t="s">
        <v>209</v>
      </c>
      <c r="C18" s="35" t="s">
        <v>210</v>
      </c>
    </row>
    <row r="19" customFormat="false" ht="15" hidden="false" customHeight="false" outlineLevel="0" collapsed="false">
      <c r="B19" s="8" t="s">
        <v>211</v>
      </c>
      <c r="C19" s="35" t="s">
        <v>212</v>
      </c>
    </row>
    <row r="20" customFormat="false" ht="15" hidden="false" customHeight="false" outlineLevel="0" collapsed="false">
      <c r="B20" s="8" t="s">
        <v>213</v>
      </c>
      <c r="C20" s="35" t="s">
        <v>214</v>
      </c>
    </row>
    <row r="21" customFormat="false" ht="15" hidden="false" customHeight="false" outlineLevel="0" collapsed="false">
      <c r="B21" s="8" t="s">
        <v>215</v>
      </c>
      <c r="C21" s="35" t="s">
        <v>216</v>
      </c>
    </row>
    <row r="22" customFormat="false" ht="15" hidden="false" customHeight="false" outlineLevel="0" collapsed="false">
      <c r="B22" s="8" t="s">
        <v>217</v>
      </c>
      <c r="C22" s="35" t="s">
        <v>218</v>
      </c>
    </row>
    <row r="23" customFormat="false" ht="15" hidden="false" customHeight="false" outlineLevel="0" collapsed="false">
      <c r="B23" s="8" t="s">
        <v>219</v>
      </c>
      <c r="C23" s="35" t="s">
        <v>220</v>
      </c>
    </row>
    <row r="24" customFormat="false" ht="15" hidden="false" customHeight="false" outlineLevel="0" collapsed="false">
      <c r="B24" s="8" t="s">
        <v>221</v>
      </c>
      <c r="C24" s="35" t="s">
        <v>222</v>
      </c>
    </row>
    <row r="25" customFormat="false" ht="15" hidden="false" customHeight="false" outlineLevel="0" collapsed="false">
      <c r="B25" s="8" t="s">
        <v>223</v>
      </c>
      <c r="C25" s="35" t="s">
        <v>224</v>
      </c>
    </row>
    <row r="26" customFormat="false" ht="15" hidden="false" customHeight="false" outlineLevel="0" collapsed="false">
      <c r="B26" s="8" t="s">
        <v>225</v>
      </c>
      <c r="C26" s="35" t="s">
        <v>226</v>
      </c>
    </row>
    <row r="27" customFormat="false" ht="15" hidden="false" customHeight="false" outlineLevel="0" collapsed="false">
      <c r="B27" s="8" t="s">
        <v>227</v>
      </c>
      <c r="C27" s="35" t="s">
        <v>228</v>
      </c>
    </row>
    <row r="28" customFormat="false" ht="15" hidden="false" customHeight="false" outlineLevel="0" collapsed="false">
      <c r="B28" s="8" t="s">
        <v>229</v>
      </c>
      <c r="C28" s="35" t="s">
        <v>230</v>
      </c>
    </row>
    <row r="29" customFormat="false" ht="15" hidden="false" customHeight="false" outlineLevel="0" collapsed="false">
      <c r="B29" s="8" t="s">
        <v>231</v>
      </c>
      <c r="C29" s="35" t="s">
        <v>232</v>
      </c>
    </row>
    <row r="30" customFormat="false" ht="15" hidden="false" customHeight="false" outlineLevel="0" collapsed="false">
      <c r="B30" s="8" t="s">
        <v>233</v>
      </c>
      <c r="C30" s="35" t="s">
        <v>234</v>
      </c>
    </row>
    <row r="31" customFormat="false" ht="23.85" hidden="false" customHeight="false" outlineLevel="0" collapsed="false">
      <c r="B31" s="8" t="s">
        <v>235</v>
      </c>
      <c r="C31" s="35" t="s">
        <v>236</v>
      </c>
    </row>
    <row r="32" customFormat="false" ht="23.85" hidden="false" customHeight="false" outlineLevel="0" collapsed="false">
      <c r="B32" s="8" t="s">
        <v>237</v>
      </c>
      <c r="C32" s="35" t="s">
        <v>238</v>
      </c>
    </row>
    <row r="33" customFormat="false" ht="15" hidden="false" customHeight="false" outlineLevel="0" collapsed="false">
      <c r="B33" s="8" t="s">
        <v>239</v>
      </c>
      <c r="C33" s="35" t="s">
        <v>240</v>
      </c>
    </row>
    <row r="34" customFormat="false" ht="15" hidden="false" customHeight="false" outlineLevel="0" collapsed="false">
      <c r="B34" s="8" t="s">
        <v>241</v>
      </c>
      <c r="C34" s="35" t="s">
        <v>242</v>
      </c>
    </row>
    <row r="35" customFormat="false" ht="15" hidden="false" customHeight="false" outlineLevel="0" collapsed="false">
      <c r="B35" s="8" t="s">
        <v>243</v>
      </c>
      <c r="C35" s="35" t="s">
        <v>244</v>
      </c>
    </row>
    <row r="36" customFormat="false" ht="15" hidden="false" customHeight="false" outlineLevel="0" collapsed="false">
      <c r="B36" s="8" t="s">
        <v>245</v>
      </c>
      <c r="C36" s="35" t="s">
        <v>246</v>
      </c>
    </row>
    <row r="37" customFormat="false" ht="15" hidden="false" customHeight="false" outlineLevel="0" collapsed="false">
      <c r="B37" s="8" t="s">
        <v>247</v>
      </c>
      <c r="C37" s="35" t="s">
        <v>248</v>
      </c>
    </row>
    <row r="38" customFormat="false" ht="23.85" hidden="false" customHeight="false" outlineLevel="0" collapsed="false">
      <c r="B38" s="8" t="s">
        <v>249</v>
      </c>
      <c r="C38" s="35" t="s">
        <v>250</v>
      </c>
    </row>
    <row r="39" customFormat="false" ht="15" hidden="false" customHeight="false" outlineLevel="0" collapsed="false">
      <c r="B39" s="8" t="s">
        <v>251</v>
      </c>
      <c r="C39" s="35" t="s">
        <v>252</v>
      </c>
    </row>
    <row r="40" customFormat="false" ht="15" hidden="false" customHeight="false" outlineLevel="0" collapsed="false">
      <c r="B40" s="8" t="s">
        <v>253</v>
      </c>
      <c r="C40" s="35" t="s">
        <v>254</v>
      </c>
    </row>
    <row r="41" customFormat="false" ht="15" hidden="false" customHeight="false" outlineLevel="0" collapsed="false">
      <c r="B41" s="8" t="s">
        <v>255</v>
      </c>
      <c r="C41" s="35" t="s">
        <v>256</v>
      </c>
    </row>
    <row r="42" customFormat="false" ht="15" hidden="false" customHeight="false" outlineLevel="0" collapsed="false">
      <c r="B42" s="8" t="s">
        <v>257</v>
      </c>
      <c r="C42" s="35" t="s">
        <v>258</v>
      </c>
    </row>
    <row r="43" customFormat="false" ht="15" hidden="false" customHeight="false" outlineLevel="0" collapsed="false">
      <c r="B43" s="8" t="s">
        <v>259</v>
      </c>
      <c r="C43" s="35" t="s">
        <v>260</v>
      </c>
    </row>
    <row r="44" customFormat="false" ht="23.85" hidden="false" customHeight="false" outlineLevel="0" collapsed="false">
      <c r="B44" s="8" t="s">
        <v>261</v>
      </c>
      <c r="C44" s="35" t="s">
        <v>262</v>
      </c>
    </row>
    <row r="45" customFormat="false" ht="23.85" hidden="false" customHeight="false" outlineLevel="0" collapsed="false">
      <c r="B45" s="8" t="s">
        <v>263</v>
      </c>
      <c r="C45" s="35" t="s">
        <v>264</v>
      </c>
    </row>
    <row r="46" customFormat="false" ht="15" hidden="false" customHeight="false" outlineLevel="0" collapsed="false">
      <c r="B46" s="8" t="s">
        <v>265</v>
      </c>
      <c r="C46" s="35" t="s">
        <v>266</v>
      </c>
    </row>
    <row r="47" customFormat="false" ht="15" hidden="false" customHeight="false" outlineLevel="0" collapsed="false">
      <c r="B47" s="8" t="s">
        <v>267</v>
      </c>
      <c r="C47" s="35" t="s">
        <v>268</v>
      </c>
    </row>
    <row r="48" customFormat="false" ht="23.85" hidden="false" customHeight="false" outlineLevel="0" collapsed="false">
      <c r="B48" s="8" t="s">
        <v>269</v>
      </c>
      <c r="C48" s="35" t="s">
        <v>270</v>
      </c>
    </row>
    <row r="49" customFormat="false" ht="15" hidden="false" customHeight="false" outlineLevel="0" collapsed="false">
      <c r="B49" s="8" t="s">
        <v>271</v>
      </c>
      <c r="C49" s="35" t="s">
        <v>272</v>
      </c>
    </row>
    <row r="50" customFormat="false" ht="15" hidden="false" customHeight="false" outlineLevel="0" collapsed="false">
      <c r="B50" s="8" t="s">
        <v>273</v>
      </c>
      <c r="C50" s="35" t="s">
        <v>274</v>
      </c>
    </row>
    <row r="51" customFormat="false" ht="15" hidden="false" customHeight="false" outlineLevel="0" collapsed="false">
      <c r="B51" s="8" t="s">
        <v>275</v>
      </c>
      <c r="C51" s="35" t="s">
        <v>276</v>
      </c>
    </row>
    <row r="52" customFormat="false" ht="15" hidden="false" customHeight="false" outlineLevel="0" collapsed="false">
      <c r="B52" s="8" t="s">
        <v>277</v>
      </c>
      <c r="C52" s="35" t="s">
        <v>278</v>
      </c>
    </row>
    <row r="53" customFormat="false" ht="15" hidden="false" customHeight="false" outlineLevel="0" collapsed="false">
      <c r="B53" s="8" t="s">
        <v>279</v>
      </c>
      <c r="C53" s="35" t="s">
        <v>280</v>
      </c>
    </row>
    <row r="54" customFormat="false" ht="15" hidden="false" customHeight="false" outlineLevel="0" collapsed="false">
      <c r="B54" s="8" t="s">
        <v>281</v>
      </c>
      <c r="C54" s="35" t="s">
        <v>282</v>
      </c>
    </row>
    <row r="55" customFormat="false" ht="15" hidden="false" customHeight="false" outlineLevel="0" collapsed="false">
      <c r="B55" s="8" t="s">
        <v>283</v>
      </c>
      <c r="C55" s="35" t="s">
        <v>284</v>
      </c>
    </row>
    <row r="56" customFormat="false" ht="15" hidden="false" customHeight="false" outlineLevel="0" collapsed="false">
      <c r="B56" s="8" t="s">
        <v>285</v>
      </c>
      <c r="C56" s="35" t="s">
        <v>286</v>
      </c>
    </row>
    <row r="57" customFormat="false" ht="15" hidden="false" customHeight="false" outlineLevel="0" collapsed="false">
      <c r="B57" s="8" t="s">
        <v>193</v>
      </c>
      <c r="C57" s="35" t="s">
        <v>194</v>
      </c>
    </row>
    <row r="58" customFormat="false" ht="23.85" hidden="false" customHeight="false" outlineLevel="0" collapsed="false">
      <c r="B58" s="8" t="s">
        <v>287</v>
      </c>
      <c r="C58" s="35" t="s">
        <v>288</v>
      </c>
    </row>
    <row r="59" customFormat="false" ht="23.85" hidden="false" customHeight="false" outlineLevel="0" collapsed="false">
      <c r="B59" s="8" t="s">
        <v>289</v>
      </c>
      <c r="C59" s="35" t="s">
        <v>290</v>
      </c>
    </row>
    <row r="60" customFormat="false" ht="15" hidden="false" customHeight="false" outlineLevel="0" collapsed="false">
      <c r="B60" s="8" t="s">
        <v>291</v>
      </c>
      <c r="C60" s="35" t="s">
        <v>292</v>
      </c>
    </row>
  </sheetData>
  <mergeCells count="1">
    <mergeCell ref="B2:C2"/>
  </mergeCells>
  <hyperlinks>
    <hyperlink ref="C5" r:id="rId1" display="https://www.energy.gov/articles/energy-department-announces-50-million-investment-advance-affordable-reliable-and-secure"/>
    <hyperlink ref="C6" r:id="rId2" display="https://www.energy.gov/EDF"/>
    <hyperlink ref="C7" r:id="rId3" display="https://www.energy.gov/edf/tribal-energy-financing-program-frequently-asked-questions"/>
    <hyperlink ref="C8" r:id="rId4" display="https://www.energy.gov/LPO/Tribal"/>
    <hyperlink ref="C9" r:id="rId5" display="https://arcgis.netl.doe.gov/portal/apps/experiencebuilder/experience/?id=785ee47a99d24b36b405acd03d97a5f9"/>
    <hyperlink ref="C10" r:id="rId6" display="https://www.wilsoncenter.org/article/nuclear-power-tribal-power"/>
    <hyperlink ref="C11" r:id="rId7" display="https://www.cruxclimate.com/insights/transferable-tax-credits"/>
    <hyperlink ref="C12" r:id="rId8" display="https://www.morganlewis.com/pubs/2023/05/irs-releases-highly-anticipated-guidance-on-domestic-content-ira-tax-credit-adder"/>
    <hyperlink ref="C13" r:id="rId9" display="https://www.plantemoran.com/explore-our-thinking/insight/2025/01/prevailing-wage-requirements-for-bonus-ira-energy-tax-credits"/>
    <hyperlink ref="C14" r:id="rId10" display="https://home.treasury.gov/news/press-releases/jy1830"/>
    <hyperlink ref="C15" r:id="rId11" display="https://home.treasury.gov/news/press-releases/jy2775"/>
    <hyperlink ref="C16" r:id="rId12" display="https://home.treasury.gov/system/files/136/48E-Tribal-Consultation-Summary-Federal-Response-1-8-25.pdf"/>
    <hyperlink ref="C17" r:id="rId13" display="https://www.irs.gov/credits-deductions/clean-electricity-low-income-communities-bonus-credit-amount-program"/>
    <hyperlink ref="C18" r:id="rId14" display="https://www.irs.gov/credits-deductions/frequently-asked-questions-for-energy-communities"/>
    <hyperlink ref="C19" r:id="rId15" display="https://www.irs.gov/credits-and-deductions-under-the-inflation-reduction-act-of-2022"/>
    <hyperlink ref="C20" r:id="rId16" display="https://www.irs.gov/pub/irs-drop/rp-25-11.pdf"/>
    <hyperlink ref="C21" r:id="rId17" display="https://www.irs.gov/pub/irs-pdf/p5817g.pdf"/>
    <hyperlink ref="C22" r:id="rId18" display="https://www.federalregister.gov/documents/2025/01/13/2025-00331/guidance-on-clean-electricity-low-income-communities-bonus-credit-amount-program"/>
    <hyperlink ref="C23" r:id="rId19" display="https://www.energy.gov/ne/articles/inflation-reduction-act-keeps-momentum-building-nuclear-power"/>
    <hyperlink ref="C24" r:id="rId20" display="https://www.energy.gov/indianenergy/articles/us-department-energy-announce-funding-opportunity-energy-technology-0"/>
    <hyperlink ref="C25" r:id="rId21" display="https://www.energy.gov/indianenergy/funding"/>
    <hyperlink ref="C26" r:id="rId22" display="https://ie-exchange.energy.gov/"/>
    <hyperlink ref="C27" r:id="rId23" display="https://www.energy.gov/sites/default/files/2023-01/2-us-treasury-ie-ira-jan-2023.pdf"/>
    <hyperlink ref="C28" r:id="rId24" display="https://www.energy.gov/indianenergy/2023-tribal-energy-webinar-series-understanding-48e-and-elective-pay-tribal"/>
    <hyperlink ref="C29" r:id="rId25" display="https://www.epa.gov/green-power-markets/summary-inflation-reduction-act-provisions-related-renewable-energy"/>
    <hyperlink ref="C30" r:id="rId26" display="https://www.epa.gov/brownfields/federal-programs"/>
    <hyperlink ref="C31" r:id="rId27" display="https://www.congress.gov/crs-product/R48358"/>
    <hyperlink ref="C32" r:id="rId28" display="https://www.congress.gov/crs-product/IF11793"/>
    <hyperlink ref="C33" r:id="rId29" display="https://files.gao.gov/reports/GAO-25-108720/index.html"/>
    <hyperlink ref="C34" r:id="rId30" display="https://www.morganlewis.com/pubs/2025/07/the-impact-of-the-one-big-beautiful-bill-act-on-nuclear-tax-incentives"/>
    <hyperlink ref="C35" r:id="rId31" display="https://www.morganlewis.com/pubs/2022/08/inflation-reduction-act-of-2022-boosts-nuclear-power-with-tax-credits-and-funding"/>
    <hyperlink ref="C36" r:id="rId32" display="https://www.sidley.com/en/insights/newsupdates/2025/07/the-one-big-beautiful-bill-act-navigating-the-new-energy-landscape"/>
    <hyperlink ref="C37" r:id="rId33" display="https://www.bakerbotts.com/thought-leadership/publications/2025/july/one-big-beautiful-bill-act-substantially-alters-clean-energy-tax-landscape"/>
    <hyperlink ref="C38" r:id="rId34" display="https://www.kirkland.com/publications/kirkland-alert/2025/08/one-big-beautiful-bill-act-brings-big-changes-to-green-energy-tax-credits"/>
    <hyperlink ref="C39" r:id="rId35" display="https://www.lw.com/en/insights/one-big-beautiful-bill-new-law-disrupts-clean-energy-investment"/>
    <hyperlink ref="C40" r:id="rId36" display="https://www.quarles.com/newsroom/publications/a-summary-of-inflation-reduction-act-for-tribal-governments"/>
    <hyperlink ref="C41" r:id="rId37" display="https://www.mossadams.com/articles/2022/08/inflation-reduction-act-clean-energy-credits"/>
    <hyperlink ref="C42" r:id="rId38" display="https://www.nixonpeabody.com/insights/alerts/2023/04/27/eligibility-requirements-for-energy-community-bonus-tax-credits"/>
    <hyperlink ref="C43" r:id="rId39" display="https://nccleantech.ncsu.edu/2025/01/28/2024-in-review-navigating-the-advanced-nuclear-landscape/"/>
    <hyperlink ref="C44" r:id="rId40" display="https://nuclearinnovationalliance.org/sites/default/files/2025-03/Importance%20of%20Tax%20Credits%20-%20Final.pdf"/>
    <hyperlink ref="C45" r:id="rId41" display="https://nuclearinnovationalliance.org/sites/default/files/2023-12/Final%20Report%20V1%20-%20Implications%20of%20Inflation%20Reduction%20Act%20Tax%20Credits%20-%20December%202023.pdf"/>
    <hyperlink ref="C46" r:id="rId42" display="https://ljsj.wordpress.com/2024/02/02/tribes-may-take-advantage-of-section-48-tax-credits-under-the-inflation-reduction-act-to-develop-clean-energy-projects/"/>
    <hyperlink ref="C47" r:id="rId43" display="https://resilient.az.gov/clean-energy-hub/businesses/low-income-communities-bonus-credit"/>
    <hyperlink ref="C48" r:id="rId44" display="https://cityrenewables.org/ffold/48e-48eh-low-income-communities-bonus-credit/"/>
    <hyperlink ref="C49" r:id="rId45" display="https://www.reunioninfra.com/insights/spotlight-on-the-energy-community-bonus-credit-adder"/>
    <hyperlink ref="C50" r:id="rId46" display="https://rsmus.com/insights/tax-alerts/2023/Energy-communities-bonus-credit-new-guidance-clarifies-eligibility.html"/>
    <hyperlink ref="C51" r:id="rId47" display="https://www.hodgsonruss.com/newsroom/publications/one-big-beautiful-bill-act-modifies-qualification-requirements-for-renewable-energy-tax-credits"/>
    <hyperlink ref="C52" r:id="rId48" display="https://www.hoganlovells.com/en/publications/senate-finance-committee-revises-house-energy-tax-provisions-in-one-big-beautiful-bill"/>
    <hyperlink ref="C53" r:id="rId49" display="https://www.chapman.com/publication-impact-of-one-big-beautiful-bill-on-clean-energy-tax-credits"/>
    <hyperlink ref="C54" r:id="rId50" display="https://www.novoco.com/periodicals/articles/obbba-and-the-clean-energy-race-against-the-clock"/>
    <hyperlink ref="C55" r:id="rId51" display="https://www.cebn.org/media_resources/insight-into-direct-pay/"/>
    <hyperlink ref="C56" r:id="rId52" display="https://www.cebn.org/media_resources/ira-energy-communities-bonus-credit/"/>
    <hyperlink ref="C57" r:id="rId53" display="https://www.wilsoncenter.org/article/nuclear-power-tribal-power"/>
    <hyperlink ref="C58" r:id="rId54" display="https://natlawreview.com/article/energy-tax-credits-new-world-part-vi-energy-community-bonus-credits"/>
    <hyperlink ref="C59" r:id="rId55" display="https://natlawreview.com/article/energy-tax-credits-new-world-part-vii-low-income-communities-bonus-credits"/>
    <hyperlink ref="C60" r:id="rId56" display="https://www.usetinc.org/wp-content/uploads/2024/09/DTLL_Guidance_on_Technology_Neutral_Low-Income_Communities_Bonus_Amoung_Program.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2026-05-08T15:57:48Z</dcterms:created>
  <dc:creator>openpyxl</dc:creator>
  <dc:description/>
  <dc:language>en-US</dc:language>
  <cp:lastModifiedBy/>
  <dcterms:modified xsi:type="dcterms:W3CDTF">2026-05-08T15:57:48Z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